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56cb99c5d5a7e8/Documents/"/>
    </mc:Choice>
  </mc:AlternateContent>
  <xr:revisionPtr revIDLastSave="4" documentId="8_{018BD970-79C2-4E08-8710-9DAA5C7DDD70}" xr6:coauthVersionLast="47" xr6:coauthVersionMax="47" xr10:uidLastSave="{ED23735F-DFB3-478E-9AF6-DB0357891BE5}"/>
  <bookViews>
    <workbookView xWindow="-110" yWindow="-110" windowWidth="19420" windowHeight="10300" activeTab="1" xr2:uid="{C7847E12-8BD9-4CD0-857C-C6F8C617161D}"/>
  </bookViews>
  <sheets>
    <sheet name="GCC Metrics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" i="2" l="1" a="1"/>
  <c r="A4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<sst xmlns="http://schemas.openxmlformats.org/spreadsheetml/2006/main" count="297" uniqueCount="261">
  <si>
    <t>Metric/Index</t>
  </si>
  <si>
    <t>Dimension (KPMG)</t>
  </si>
  <si>
    <t>Description</t>
  </si>
  <si>
    <t>Mature GCC Benchmark (Wave 4 / Top 8-&gt;19%)</t>
  </si>
  <si>
    <t>Large GCC Benchmark (1,000+ FTEs)</t>
  </si>
  <si>
    <t>Novartis-Specific Insights (Hyderabad GCC, ~9,000 FTEs)</t>
  </si>
  <si>
    <t>Source Alignment / Notes</t>
  </si>
  <si>
    <t>Strategic Alignment Score</t>
  </si>
  <si>
    <t>Strategic Alignment to HQ</t>
  </si>
  <si>
    <t>Degree of integration with corporate OKRs and planning</t>
  </si>
  <si>
    <t>Co-creates strategy; India leaders on global committees (&gt;80% alignment)</t>
  </si>
  <si>
    <t>70-&gt;85% OKR contribution</t>
  </si>
  <si>
    <t>Contributes to nearly every late-stage molecule; supports global drug development as â€œHQ Twinâ€</t>
  </si>
  <si>
    <t>Zinnov / KPMG / Playbook</t>
  </si>
  <si>
    <t>Enterprise Strategy Co-Creation Index</t>
  </si>
  <si>
    <t>Frequency and depth of GCC input into HQ roadmaps</t>
  </si>
  <si>
    <t>Annual 3-year GCC plan integrated; standing committee seats</t>
  </si>
  <si>
    <t>Quarterly strategic reviews</t>
  </si>
  <si>
    <t>Deep embedding in R&amp;D workflows and pipeline strategy</t>
  </si>
  <si>
    <t>BCG / Zinnov</t>
  </si>
  <si>
    <t>Cross-BU Collaboration Rate</t>
  </si>
  <si>
    <t>% of initiatives spanning multiple business units</t>
  </si>
  <si>
    <t>&gt;70%</t>
  </si>
  <si>
    <t>50-&gt;65%</t>
  </si>
  <si>
    <t>High across drug development, clinical, and commercial</t>
  </si>
  <si>
    <t>Industry benchmarks</t>
  </si>
  <si>
    <t>Governance Maturity Index</t>
  </si>
  <si>
    <t>Governance &amp; Empowerment</t>
  </si>
  <si>
    <t>Presence of GCC Charter, Leadership Council, autonomy tiers</t>
  </si>
  <si>
    <t>Two-Approval-Layer Rule; global P&amp;L elements owned</t>
  </si>
  <si>
    <t>Formal council with defined escalation</t>
  </si>
  <si>
    <t>High autonomy in clinical operations and innovation</t>
  </si>
  <si>
    <t>Playbook Levers / BCG</t>
  </si>
  <si>
    <t>Decision Velocity</t>
  </si>
  <si>
    <t>Average time from proposal to approval (days)</t>
  </si>
  <si>
    <t>Comparable to HQ (&lt;7-&gt;14 days for mid-tier)</t>
  </si>
  <si>
    <t>10-&gt;21 days</t>
  </si>
  <si>
    <t>Supports rapid trial execution</t>
  </si>
  <si>
    <t>BCG</t>
  </si>
  <si>
    <t>Autonomy Tier Coverage</t>
  </si>
  <si>
    <t>% of decisions made locally</t>
  </si>
  <si>
    <t>&gt;75%</t>
  </si>
  <si>
    <t>50-&gt;70%</t>
  </si>
  <si>
    <t>High in drug development workflows</t>
  </si>
  <si>
    <t>KPMG</t>
  </si>
  <si>
    <t>Service Portfolio Breadth</t>
  </si>
  <si>
    <t>Service Portfolio</t>
  </si>
  <si>
    <t>Number of functions with end-to-end ownership</t>
  </si>
  <si>
    <t>Enterprise-wide + 2-&gt;4 global mandates</t>
  </si>
  <si>
    <t>8-&gt;12+ functions</t>
  </si>
  <si>
    <t>R&amp;D, clinical operations, pharmacovigilance, commercial, finance, supply chain, quality, procurement, HR (~9 functions)</t>
  </si>
  <si>
    <t>ANSR / Zinnov</t>
  </si>
  <si>
    <t>Global Mandate Ownership</t>
  </si>
  <si>
    <t>Number of enterprise-global processes owned</t>
  </si>
  <si>
    <t>2-&gt;4 domains</t>
  </si>
  <si>
    <t>1-&gt;3</t>
  </si>
  <si>
    <t>Multiple in drug development and clinical trials</t>
  </si>
  <si>
    <t>Playbook</t>
  </si>
  <si>
    <t>Portfolio Optimization Rate</t>
  </si>
  <si>
    <t>Annual sunset/sunrise reviews completed (%)</t>
  </si>
  <si>
    <t>100% with automation of low-value work</t>
  </si>
  <si>
    <t>80-&gt;90%</t>
  </si>
  <si>
    <t>Ongoing evolution from support to innovation</t>
  </si>
  <si>
    <t>Capability Depth Score</t>
  </si>
  <si>
    <t>Depth of Capability</t>
  </si>
  <si>
    <t>Expertise level and â€œbest-in-enterpriseâ€ recognition</t>
  </si>
  <si>
    <t>Patents filed; institutional knowledge repository</t>
  </si>
  <si>
    <t>Multiple CoEs</t>
  </si>
  <si>
    <t>Biomedical research, biostatistics, advanced analytics; contributes to Phase II/III programs</t>
  </si>
  <si>
    <t>Zinnov</t>
  </si>
  <si>
    <t>IP Generation Rate</t>
  </si>
  <si>
    <t>Patents/process innovations per year</t>
  </si>
  <si>
    <t>5+ enterprise-contributing</t>
  </si>
  <si>
    <t>1-&gt;5</t>
  </si>
  <si>
    <t>Supports multiple molecules; AI in trials (e.g., faster recruitment)</t>
  </si>
  <si>
    <t>Industry reports</t>
  </si>
  <si>
    <t>Domain Expertise Coverage</t>
  </si>
  <si>
    <t>% of critical roles with advanced certification</t>
  </si>
  <si>
    <t>&gt;80%</t>
  </si>
  <si>
    <t>60-&gt;75%</t>
  </si>
  <si>
    <t>Strong in clinical data management and regulatory</t>
  </si>
  <si>
    <t>Deloitte</t>
  </si>
  <si>
    <t>Cloud Adoption Rate</t>
  </si>
  <si>
    <t>Digital Maturity</t>
  </si>
  <si>
    <t>% of workloads on cloud</t>
  </si>
  <si>
    <t>&gt; 70%</t>
  </si>
  <si>
    <t>60-&gt;80%</t>
  </si>
  <si>
    <t>High; enables digital platforms for trials</t>
  </si>
  <si>
    <t>Automation Penetration</t>
  </si>
  <si>
    <t>% of processes automated (RPA+AI)</t>
  </si>
  <si>
    <t>&gt;60-&gt;70%</t>
  </si>
  <si>
    <t>40-&gt;60%</t>
  </si>
  <si>
    <t>High efficiency and automation in commercial operations</t>
  </si>
  <si>
    <t>Novartis statements</t>
  </si>
  <si>
    <t>AI-Native Index / Pilot-to-Production Conversion</t>
  </si>
  <si>
    <t>% of AI initiatives reaching production</t>
  </si>
  <si>
    <t>&gt;40%; AI agents in core processes</t>
  </si>
  <si>
    <t>25-&gt;40%</t>
  </si>
  <si>
    <t>AI-driven site selection and trial recruitment (e.g., 40% faster in key trials)</t>
  </si>
  <si>
    <t>BCG / ZS</t>
  </si>
  <si>
    <t>Digital Maturity Score</t>
  </si>
  <si>
    <t>Overall technology enablement level (1-&gt;5 scale)</t>
  </si>
  <si>
    <t>4.5-&gt;5.0 (proprietary assets)</t>
  </si>
  <si>
    <t>3.5-&gt;4.5</t>
  </si>
  <si>
    <t>Advanced in analytics and digital health</t>
  </si>
  <si>
    <t>ANSR</t>
  </si>
  <si>
    <t>Attrition Rate</t>
  </si>
  <si>
    <t>Future-Ready Workforce</t>
  </si>
  <si>
    <t>Annual voluntary turnover (%)</t>
  </si>
  <si>
    <t>&lt;12-&gt;15%</t>
  </si>
  <si>
    <t>12-&gt;18%</t>
  </si>
  <si>
    <t>Focus on talent pipeline and retention (specific rate not public)</t>
  </si>
  <si>
    <t>Standard benchmarks</t>
  </si>
  <si>
    <t>eNPS / Employee Engagement Score</t>
  </si>
  <si>
    <t>Net Promoter Score for employees</t>
  </si>
  <si>
    <t>&gt;60</t>
  </si>
  <si>
    <t>50-&gt;65</t>
  </si>
  <si>
    <t>Certified Great Place to Work; leadership-ready talent hub</t>
  </si>
  <si>
    <t>Novartis</t>
  </si>
  <si>
    <t>Internal/Global Mobility Rate</t>
  </si>
  <si>
    <t>% of employees moving roles/locations annually</t>
  </si>
  <si>
    <t>&gt;20%</t>
  </si>
  <si>
    <t>15-&gt;25%</t>
  </si>
  <si>
    <t>Talent development emphasized</t>
  </si>
  <si>
    <t>L&amp;D Investment per Employee</t>
  </si>
  <si>
    <t>Annual spend (INR)</t>
  </si>
  <si>
    <t>&gt;50,000</t>
  </si>
  <si>
    <t>30,000-&gt;50,000</t>
  </si>
  <si>
    <t>Skills in AI, clinical, and digital</t>
  </si>
  <si>
    <t>Time-to-Productivity</t>
  </si>
  <si>
    <t>Months for new hires to full output</t>
  </si>
  <si>
    <t>&lt;3 months</t>
  </si>
  <si>
    <t>3-&gt;6 months</t>
  </si>
  <si>
    <t>Structured for complex R&amp;D roles</t>
  </si>
  <si>
    <t>Qatalys</t>
  </si>
  <si>
    <t>AI Literacy / Skills Forecast Coverage</t>
  </si>
  <si>
    <t>% of workforce with forward-looking skills assessment</t>
  </si>
  <si>
    <t>2-&gt;3 year forecast; &gt;70% AI-literate baseline</t>
  </si>
  <si>
    <t>Annual assessment</t>
  </si>
  <si>
    <t>High in data science and analytics teams</t>
  </si>
  <si>
    <t>BCP/DR Success Rate</t>
  </si>
  <si>
    <t>Risk &amp; Resilience</t>
  </si>
  <si>
    <t>% of tests meeting targets</t>
  </si>
  <si>
    <t>&gt;99%</t>
  </si>
  <si>
    <t>95-&gt;99%</t>
  </si>
  <si>
    <t>Robust for global clinical operations</t>
  </si>
  <si>
    <t>Standard</t>
  </si>
  <si>
    <t>Audit/Compliance Score</t>
  </si>
  <si>
    <t>Overall regulatory and internal audit rating (%)</t>
  </si>
  <si>
    <t>&gt;95%</t>
  </si>
  <si>
    <t>90-&gt;95%</t>
  </si>
  <si>
    <t>High in pharmacovigilance and quality</t>
  </si>
  <si>
    <t>Risk Horizon Coverage</t>
  </si>
  <si>
    <t>Months of proactive scanning (5 domains)</t>
  </si>
  <si>
    <t>12-&gt;24 months; scenario planning</t>
  </si>
  <si>
    <t>6-&gt;12 months</t>
  </si>
  <si>
    <t>Supports global supply and trials</t>
  </si>
  <si>
    <t>Cost Savings vs Onshore</t>
  </si>
  <si>
    <t>Value &amp; Cost</t>
  </si>
  <si>
    <t>% reduction in equivalent roles</t>
  </si>
  <si>
    <t>30-&gt;45%+ with productivity uplift</t>
  </si>
  <si>
    <t>35-&gt;50%</t>
  </si>
  <si>
    <t>Significant scale efficiencies (~$400M annual operating cost for India hub)</t>
  </si>
  <si>
    <t>Industry</t>
  </si>
  <si>
    <t>ROI on AI/Digital Initiatives</t>
  </si>
  <si>
    <t>Multiple of return</t>
  </si>
  <si>
    <t>3.5+++</t>
  </si>
  <si>
    <t>2.5-&gt;4Ã—</t>
  </si>
  <si>
    <t>Demonstrated in trial acceleration and efficiency</t>
  </si>
  <si>
    <t>BCG / Novartis</t>
  </si>
  <si>
    <t>Value Delivered Index</t>
  </si>
  <si>
    <t>Quantified business impact (revenue influence, TTM)</t>
  </si>
  <si>
    <t>Three-layer KPI dashboard to board</t>
  </si>
  <si>
    <t>Mix of operational + outcomes</t>
  </si>
  <si>
    <t>Powers innovation; faster trial enrollment (e.g., months ahead)</t>
  </si>
  <si>
    <t>ZS / Qatalys</t>
  </si>
  <si>
    <t>Time-to-Market Acceleration</t>
  </si>
  <si>
    <t>% reduction in development cycles</t>
  </si>
  <si>
    <t>20-&gt;40%</t>
  </si>
  <si>
    <t>15-&gt;30%</t>
  </si>
  <si>
    <t>AI sites recruited 40% faster in key trials</t>
  </si>
  <si>
    <t>Novartis example</t>
  </si>
  <si>
    <t>Innovation Contribution</t>
  </si>
  <si>
    <t>% of enterprise innovation pipeline supported</t>
  </si>
  <si>
    <t>&gt;30-&gt;50%</t>
  </si>
  <si>
    <t>Contributes to almost every late-stage molecule</t>
  </si>
  <si>
    <t>Revenue/Enterprise Impact Attribution</t>
  </si>
  <si>
    <t>Direct or enabled revenue/savings linked to GCC</t>
  </si>
  <si>
    <t>Tracked and reported</t>
  </si>
  <si>
    <t>Emerging quantification</t>
  </si>
  <si>
    <t>Supports growth as innovative medicines company</t>
  </si>
  <si>
    <t>Operational Excellence Metrics</t>
  </si>
  <si>
    <t>Composite: speed, accuracy, consistency, efficiency, automation</t>
  </si>
  <si>
    <t>Industry-leading (&gt;95% first-time-right)</t>
  </si>
  <si>
    <t>High benchmarks in commercial ops</t>
  </si>
  <si>
    <t>Explicitly tracked in commercial functions (speed, accuracy, consistency, efficiency, automation)</t>
  </si>
  <si>
    <t>ZS Interview</t>
  </si>
  <si>
    <t>Overall Maturity Index</t>
  </si>
  <si>
    <t>Cross-Cutting</t>
  </si>
  <si>
    <t>Aggregate score across dimensions</t>
  </si>
  <si>
    <t>24/24 (100%) -&gt; Full Wave 4</t>
  </si>
  <si>
    <t>75-&gt;90% typical for scaled centers</t>
  </si>
  <si>
    <t>Advanced Wave 4 characteristics (innovation engine)</t>
  </si>
  <si>
    <t>KPMG / Zinnov</t>
  </si>
  <si>
    <t>Headcount Scale Efficiency</t>
  </si>
  <si>
    <t>Value per FTE (innovation output)</t>
  </si>
  <si>
    <t>High strategic leverage</t>
  </si>
  <si>
    <t>High at 1,000-&gt;10,000+ scale</t>
  </si>
  <si>
    <t>~9,000 FTEs deliver global mandates; ~11% of global workforce</t>
  </si>
  <si>
    <t>Novartis Reports</t>
  </si>
  <si>
    <t>Sustainability/ESG Integration</t>
  </si>
  <si>
    <t>Alignment with corporate ESG targets</t>
  </si>
  <si>
    <t>97%+ compliance</t>
  </si>
  <si>
    <t>On track for 2025-&gt;2030 targets</t>
  </si>
  <si>
    <t>Strong manufacturing and supplier metrics</t>
  </si>
  <si>
    <t>Novartis Nonfinancial Report</t>
  </si>
  <si>
    <t>GCC Metrics Benchmark Workbook - Usage Guide</t>
  </si>
  <si>
    <t>This workbook consolidates 37 GCC metric groups (with sub-metrics) across talent, hiring, delivery,</t>
  </si>
  <si>
    <t>quality, value, and stability.</t>
  </si>
  <si>
    <t>For each metric, the Metrics sheet provides: definition, ecosystem observation, best-in-class</t>
  </si>
  <si>
    <t>guidance, industry ballparks, GCC size notes, units, example Excel formula patterns, and indicative</t>
  </si>
  <si>
    <t>high-performance bounds.</t>
  </si>
  <si>
    <t>Use the BofA, JPMC, Optum, Novartis, AstraZeneca, and Novo Nordisk columns to enter actuals and</t>
  </si>
  <si>
    <t>compare against the benchmark ranges.</t>
  </si>
  <si>
    <t>Key numeric anchors (industry-level, India GCC and global IT benchmarks):</t>
  </si>
  <si>
    <t>- Voluntary attrition: sector-low India GCC voluntary attrition is ~12.6% with overall attrition</t>
  </si>
  <si>
    <t>~16.9%. Best-in-class GCCs aim to stay at or below this voluntary level, adjusted for city and skill</t>
  </si>
  <si>
    <t>mix.</t>
  </si>
  <si>
    <t>- Time-to-hire: typical ranges are 30-45 days for most mid-level tech roles and 60-75 days for</t>
  </si>
  <si>
    <t>niche/senior roles (requisition to joining), implying ~4-6 weeks from req-to-offer for mid-level.</t>
  </si>
  <si>
    <t>- Time-to-onboard: India notice periods are usually 30-60 days (up to 90 for senior talent). High-</t>
  </si>
  <si>
    <t>performing GCCs complete all checks and provisioning within this window.</t>
  </si>
  <si>
    <t>- Offer-to-join ratio: GCCs and product firms often achieve ~65-70% offer-to-join, compared to</t>
  </si>
  <si>
    <t>~45-55% in IT services. Sustained ≥75% on critical roles is considered best-in-class.</t>
  </si>
  <si>
    <t>- Headcount growth: ecosystem data for India GCCs shows ~18-24% YoY HC growth in recent years,</t>
  </si>
  <si>
    <t>equivalent to roughly 1.5-2.0% MoM for high-growth centers (when aligned to plan).</t>
  </si>
  <si>
    <t>- Span of control: for knowledge work, 6-12 ICs per manager is typically optimal; 3-6 for highly</t>
  </si>
  <si>
    <t>complex leadership roles; 10-15+ for standardized work. Many GCCs target ~8-10 for first-line</t>
  </si>
  <si>
    <t>leaders.</t>
  </si>
  <si>
    <t>- SLA adherence: service-desk and ITSM benchmarks commonly treat ≥95% SLA compliance as strong</t>
  </si>
  <si>
    <t>performance; 90-95% as watch; &lt;80% as critical.</t>
  </si>
  <si>
    <t>- On-time delivery: IT project portfolios often see 60-85% of initiatives delivered on time; high</t>
  </si>
  <si>
    <t>performers sustain ~85-95%+ depending on risk appetite and complexity.</t>
  </si>
  <si>
    <t>- Change failure rate: DORA research indicates elite DevOps teams operate with 0-15% change failure</t>
  </si>
  <si>
    <t>rate (failed changes / total changes).</t>
  </si>
  <si>
    <t>- Defect density: high-quality enterprise software typically targets about 1-3 defects per KLOC in</t>
  </si>
  <si>
    <t>production; teams track trends over time rather than one universal threshold.</t>
  </si>
  <si>
    <t>- Savings vs plan: mature GCC business cases often assume 25-40% cost savings vs equivalent onshore</t>
  </si>
  <si>
    <t>delivery; realisation vs plan is typically treated as strong if within roughly -10% to +20% of the</t>
  </si>
  <si>
    <t>planned savings.</t>
  </si>
  <si>
    <t>- Spend variance vs migration budget: many portfolios consider -10% to +10% vs budget as an</t>
  </si>
  <si>
    <t>acceptable variance band on migration spend.</t>
  </si>
  <si>
    <t>- Initiatives at risk (red/amber): portfolio RAG dashboards often show 10-25% of initiatives in</t>
  </si>
  <si>
    <t>red/amber, depending on aggressiveness and governance.</t>
  </si>
  <si>
    <t>Important caveats:</t>
  </si>
  <si>
    <t>like Bank of America, JPMC, Optum, Novartis, AstraZeneca, or Novo Nordisk.</t>
  </si>
  <si>
    <t>- Many metrics such as internal fulfilment %, cross-skilled deployment, AI upskilling share, ideas-</t>
  </si>
  <si>
    <t>to-MVP conversion, and KT stability windows are tracked internally or via confidential benchmarking</t>
  </si>
  <si>
    <t>and do not have reliable public numeric benchmarks.</t>
  </si>
  <si>
    <t>- For such metrics, use the workbook's qualitative guidance and your own historical data and peer</t>
  </si>
  <si>
    <t>studies to set realistic best-in-class targets and RAG thresholds.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</si>
</sst>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0534-8006-465A-B079-53650A400421}">
  <dimension ref="A1:G36"/>
  <sheetViews>
    <sheetView topLeftCell="A9" workbookViewId="0">
      <selection activeCell="A11" sqref="A11"/>
    </sheetView>
  </sheetViews>
  <sheetFormatPr defaultRowHeight="14.5" x14ac:dyDescent="0.35"/>
  <cols>
    <col min="1" max="1" width="41.54296875" bestFit="1" customWidth="1"/>
    <col min="2" max="2" width="25.81640625" bestFit="1" customWidth="1"/>
    <col min="3" max="3" width="54.6328125" bestFit="1" customWidth="1"/>
    <col min="4" max="4" width="62.81640625" bestFit="1" customWidth="1"/>
    <col min="5" max="5" width="33.08984375" bestFit="1" customWidth="1"/>
    <col min="6" max="6" width="101.26953125" bestFit="1" customWidth="1"/>
    <col min="7" max="7" width="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5">
      <c r="A4" t="s">
        <v>20</v>
      </c>
      <c r="B4" t="s">
        <v>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35">
      <c r="A6" t="s">
        <v>33</v>
      </c>
      <c r="B6" t="s">
        <v>27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 x14ac:dyDescent="0.35">
      <c r="A7" t="s">
        <v>39</v>
      </c>
      <c r="B7" t="s">
        <v>27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7" x14ac:dyDescent="0.3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</row>
    <row r="9" spans="1:7" x14ac:dyDescent="0.35">
      <c r="A9" t="s">
        <v>52</v>
      </c>
      <c r="B9" t="s">
        <v>46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  <row r="10" spans="1:7" x14ac:dyDescent="0.35">
      <c r="A10" t="s">
        <v>58</v>
      </c>
      <c r="B10" t="s">
        <v>46</v>
      </c>
      <c r="C10" t="s">
        <v>59</v>
      </c>
      <c r="D10" t="s">
        <v>60</v>
      </c>
      <c r="E10" t="s">
        <v>61</v>
      </c>
      <c r="F10" t="s">
        <v>62</v>
      </c>
      <c r="G10" t="s">
        <v>38</v>
      </c>
    </row>
    <row r="11" spans="1:7" x14ac:dyDescent="0.3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</row>
    <row r="12" spans="1:7" x14ac:dyDescent="0.35">
      <c r="A12" t="s">
        <v>70</v>
      </c>
      <c r="B12" t="s">
        <v>64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</row>
    <row r="13" spans="1:7" x14ac:dyDescent="0.35">
      <c r="A13" t="s">
        <v>76</v>
      </c>
      <c r="B13" t="s">
        <v>64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</row>
    <row r="14" spans="1:7" x14ac:dyDescent="0.3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38</v>
      </c>
    </row>
    <row r="15" spans="1:7" x14ac:dyDescent="0.35">
      <c r="A15" t="s">
        <v>88</v>
      </c>
      <c r="B15" t="s">
        <v>83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</row>
    <row r="16" spans="1:7" x14ac:dyDescent="0.35">
      <c r="A16" t="s">
        <v>94</v>
      </c>
      <c r="B16" t="s">
        <v>83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</row>
    <row r="17" spans="1:7" x14ac:dyDescent="0.35">
      <c r="A17" t="s">
        <v>100</v>
      </c>
      <c r="B17" t="s">
        <v>83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</row>
    <row r="18" spans="1:7" x14ac:dyDescent="0.35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  <c r="G18" t="s">
        <v>112</v>
      </c>
    </row>
    <row r="19" spans="1:7" x14ac:dyDescent="0.35">
      <c r="A19" t="s">
        <v>113</v>
      </c>
      <c r="B19" t="s">
        <v>107</v>
      </c>
      <c r="C19" t="s">
        <v>114</v>
      </c>
      <c r="D19" t="s">
        <v>115</v>
      </c>
      <c r="E19" t="s">
        <v>116</v>
      </c>
      <c r="F19" t="s">
        <v>117</v>
      </c>
      <c r="G19" t="s">
        <v>118</v>
      </c>
    </row>
    <row r="20" spans="1:7" x14ac:dyDescent="0.35">
      <c r="A20" t="s">
        <v>119</v>
      </c>
      <c r="B20" t="s">
        <v>107</v>
      </c>
      <c r="C20" t="s">
        <v>120</v>
      </c>
      <c r="D20" t="s">
        <v>121</v>
      </c>
      <c r="E20" t="s">
        <v>122</v>
      </c>
      <c r="F20" t="s">
        <v>123</v>
      </c>
      <c r="G20" t="s">
        <v>69</v>
      </c>
    </row>
    <row r="21" spans="1:7" x14ac:dyDescent="0.35">
      <c r="A21" t="s">
        <v>124</v>
      </c>
      <c r="B21" t="s">
        <v>107</v>
      </c>
      <c r="C21" t="s">
        <v>125</v>
      </c>
      <c r="D21" t="s">
        <v>126</v>
      </c>
      <c r="E21" t="s">
        <v>127</v>
      </c>
      <c r="F21" t="s">
        <v>128</v>
      </c>
      <c r="G21" t="s">
        <v>57</v>
      </c>
    </row>
    <row r="22" spans="1:7" x14ac:dyDescent="0.35">
      <c r="A22" t="s">
        <v>129</v>
      </c>
      <c r="B22" t="s">
        <v>107</v>
      </c>
      <c r="C22" t="s">
        <v>130</v>
      </c>
      <c r="D22" t="s">
        <v>131</v>
      </c>
      <c r="E22" t="s">
        <v>132</v>
      </c>
      <c r="F22" t="s">
        <v>133</v>
      </c>
      <c r="G22" t="s">
        <v>134</v>
      </c>
    </row>
    <row r="23" spans="1:7" x14ac:dyDescent="0.35">
      <c r="A23" t="s">
        <v>135</v>
      </c>
      <c r="B23" t="s">
        <v>107</v>
      </c>
      <c r="C23" t="s">
        <v>136</v>
      </c>
      <c r="D23" t="s">
        <v>137</v>
      </c>
      <c r="E23" t="s">
        <v>138</v>
      </c>
      <c r="F23" t="s">
        <v>139</v>
      </c>
      <c r="G23" t="s">
        <v>38</v>
      </c>
    </row>
    <row r="24" spans="1:7" x14ac:dyDescent="0.35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145</v>
      </c>
      <c r="G24" t="s">
        <v>146</v>
      </c>
    </row>
    <row r="25" spans="1:7" x14ac:dyDescent="0.35">
      <c r="A25" t="s">
        <v>147</v>
      </c>
      <c r="B25" t="s">
        <v>141</v>
      </c>
      <c r="C25" t="s">
        <v>148</v>
      </c>
      <c r="D25" t="s">
        <v>149</v>
      </c>
      <c r="E25" t="s">
        <v>150</v>
      </c>
      <c r="F25" t="s">
        <v>151</v>
      </c>
      <c r="G25" t="s">
        <v>44</v>
      </c>
    </row>
    <row r="26" spans="1:7" x14ac:dyDescent="0.35">
      <c r="A26" t="s">
        <v>152</v>
      </c>
      <c r="B26" t="s">
        <v>141</v>
      </c>
      <c r="C26" t="s">
        <v>153</v>
      </c>
      <c r="D26" t="s">
        <v>154</v>
      </c>
      <c r="E26" t="s">
        <v>155</v>
      </c>
      <c r="F26" t="s">
        <v>156</v>
      </c>
      <c r="G26" t="s">
        <v>57</v>
      </c>
    </row>
    <row r="27" spans="1:7" x14ac:dyDescent="0.35">
      <c r="A27" t="s">
        <v>157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163</v>
      </c>
    </row>
    <row r="28" spans="1:7" x14ac:dyDescent="0.35">
      <c r="A28" t="s">
        <v>164</v>
      </c>
      <c r="B28" t="s">
        <v>158</v>
      </c>
      <c r="C28" t="s">
        <v>165</v>
      </c>
      <c r="D28" t="s">
        <v>166</v>
      </c>
      <c r="E28" t="s">
        <v>167</v>
      </c>
      <c r="F28" t="s">
        <v>168</v>
      </c>
      <c r="G28" t="s">
        <v>169</v>
      </c>
    </row>
    <row r="29" spans="1:7" x14ac:dyDescent="0.35">
      <c r="A29" t="s">
        <v>170</v>
      </c>
      <c r="B29" t="s">
        <v>158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</row>
    <row r="30" spans="1:7" x14ac:dyDescent="0.35">
      <c r="A30" t="s">
        <v>176</v>
      </c>
      <c r="B30" t="s">
        <v>158</v>
      </c>
      <c r="C30" t="s">
        <v>177</v>
      </c>
      <c r="D30" t="s">
        <v>178</v>
      </c>
      <c r="E30" t="s">
        <v>179</v>
      </c>
      <c r="F30" t="s">
        <v>180</v>
      </c>
      <c r="G30" t="s">
        <v>181</v>
      </c>
    </row>
    <row r="31" spans="1:7" x14ac:dyDescent="0.35">
      <c r="A31" t="s">
        <v>182</v>
      </c>
      <c r="B31" t="s">
        <v>158</v>
      </c>
      <c r="C31" t="s">
        <v>183</v>
      </c>
      <c r="D31" t="s">
        <v>184</v>
      </c>
      <c r="E31" t="s">
        <v>178</v>
      </c>
      <c r="F31" t="s">
        <v>185</v>
      </c>
      <c r="G31" t="s">
        <v>51</v>
      </c>
    </row>
    <row r="32" spans="1:7" x14ac:dyDescent="0.35">
      <c r="A32" t="s">
        <v>186</v>
      </c>
      <c r="B32" t="s">
        <v>158</v>
      </c>
      <c r="C32" t="s">
        <v>187</v>
      </c>
      <c r="D32" t="s">
        <v>188</v>
      </c>
      <c r="E32" t="s">
        <v>189</v>
      </c>
      <c r="F32" t="s">
        <v>190</v>
      </c>
      <c r="G32" t="s">
        <v>118</v>
      </c>
    </row>
    <row r="33" spans="1:7" x14ac:dyDescent="0.35">
      <c r="A33" t="s">
        <v>191</v>
      </c>
      <c r="B33" t="s">
        <v>158</v>
      </c>
      <c r="C33" t="s">
        <v>192</v>
      </c>
      <c r="D33" t="s">
        <v>193</v>
      </c>
      <c r="E33" t="s">
        <v>194</v>
      </c>
      <c r="F33" t="s">
        <v>195</v>
      </c>
      <c r="G33" t="s">
        <v>196</v>
      </c>
    </row>
    <row r="34" spans="1:7" x14ac:dyDescent="0.35">
      <c r="A34" t="s">
        <v>197</v>
      </c>
      <c r="B34" t="s">
        <v>198</v>
      </c>
      <c r="C34" t="s">
        <v>199</v>
      </c>
      <c r="D34" t="s">
        <v>200</v>
      </c>
      <c r="E34" t="s">
        <v>201</v>
      </c>
      <c r="F34" t="s">
        <v>202</v>
      </c>
      <c r="G34" t="s">
        <v>203</v>
      </c>
    </row>
    <row r="35" spans="1:7" x14ac:dyDescent="0.35">
      <c r="A35" t="s">
        <v>204</v>
      </c>
      <c r="B35" t="s">
        <v>198</v>
      </c>
      <c r="C35" t="s">
        <v>205</v>
      </c>
      <c r="D35" t="s">
        <v>206</v>
      </c>
      <c r="E35" t="s">
        <v>207</v>
      </c>
      <c r="F35" t="s">
        <v>208</v>
      </c>
      <c r="G35" t="s">
        <v>209</v>
      </c>
    </row>
    <row r="36" spans="1:7" x14ac:dyDescent="0.35">
      <c r="A36" t="s">
        <v>210</v>
      </c>
      <c r="B36" t="s">
        <v>198</v>
      </c>
      <c r="C36" t="s">
        <v>211</v>
      </c>
      <c r="D36" t="s">
        <v>212</v>
      </c>
      <c r="E36" t="s">
        <v>213</v>
      </c>
      <c r="F36" t="s">
        <v>214</v>
      </c>
      <c r="G36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0C12-D808-47E9-90B6-EDDFDAA73790}">
  <dimension ref="A1:A49"/>
  <sheetViews>
    <sheetView tabSelected="1" workbookViewId="0">
      <selection activeCell="B7" sqref="B7"/>
    </sheetView>
  </sheetViews>
  <sheetFormatPr defaultRowHeight="14.5" x14ac:dyDescent="0.35"/>
  <cols>
    <col min="1" max="1" width="86.81640625" bestFit="1" customWidth="1"/>
  </cols>
  <sheetData>
    <row r="1" spans="1:1" x14ac:dyDescent="0.35">
      <c r="A1" t="s">
        <v>216</v>
      </c>
    </row>
    <row r="3" spans="1:1" x14ac:dyDescent="0.35">
      <c r="A3" t="s">
        <v>217</v>
      </c>
    </row>
    <row r="4" spans="1:1" x14ac:dyDescent="0.35">
      <c r="A4" t="s">
        <v>218</v>
      </c>
    </row>
    <row r="5" spans="1:1" x14ac:dyDescent="0.35">
      <c r="A5" t="s">
        <v>219</v>
      </c>
    </row>
    <row r="6" spans="1:1" x14ac:dyDescent="0.35">
      <c r="A6" t="s">
        <v>220</v>
      </c>
    </row>
    <row r="7" spans="1:1" x14ac:dyDescent="0.35">
      <c r="A7" t="s">
        <v>221</v>
      </c>
    </row>
    <row r="8" spans="1:1" x14ac:dyDescent="0.35">
      <c r="A8" t="s">
        <v>222</v>
      </c>
    </row>
    <row r="9" spans="1:1" x14ac:dyDescent="0.35">
      <c r="A9" t="s">
        <v>223</v>
      </c>
    </row>
    <row r="11" spans="1:1" x14ac:dyDescent="0.35">
      <c r="A11" t="s">
        <v>224</v>
      </c>
    </row>
    <row r="12" spans="1:1" x14ac:dyDescent="0.35">
      <c r="A12" t="s">
        <v>225</v>
      </c>
    </row>
    <row r="13" spans="1:1" x14ac:dyDescent="0.35">
      <c r="A13" t="s">
        <v>226</v>
      </c>
    </row>
    <row r="14" spans="1:1" x14ac:dyDescent="0.35">
      <c r="A14" t="s">
        <v>227</v>
      </c>
    </row>
    <row r="15" spans="1:1" x14ac:dyDescent="0.35">
      <c r="A15" t="s">
        <v>228</v>
      </c>
    </row>
    <row r="16" spans="1:1" x14ac:dyDescent="0.35">
      <c r="A16" t="s">
        <v>229</v>
      </c>
    </row>
    <row r="17" spans="1:1" x14ac:dyDescent="0.35">
      <c r="A17" t="s">
        <v>230</v>
      </c>
    </row>
    <row r="18" spans="1:1" x14ac:dyDescent="0.35">
      <c r="A18" t="s">
        <v>231</v>
      </c>
    </row>
    <row r="19" spans="1:1" x14ac:dyDescent="0.35">
      <c r="A19" t="s">
        <v>232</v>
      </c>
    </row>
    <row r="20" spans="1:1" x14ac:dyDescent="0.35">
      <c r="A20" t="s">
        <v>233</v>
      </c>
    </row>
    <row r="21" spans="1:1" x14ac:dyDescent="0.35">
      <c r="A21" t="s">
        <v>234</v>
      </c>
    </row>
    <row r="22" spans="1:1" x14ac:dyDescent="0.35">
      <c r="A22" t="s">
        <v>235</v>
      </c>
    </row>
    <row r="23" spans="1:1" x14ac:dyDescent="0.35">
      <c r="A23" t="s">
        <v>236</v>
      </c>
    </row>
    <row r="24" spans="1:1" x14ac:dyDescent="0.35">
      <c r="A24" t="s">
        <v>237</v>
      </c>
    </row>
    <row r="25" spans="1:1" x14ac:dyDescent="0.35">
      <c r="A25" t="s">
        <v>238</v>
      </c>
    </row>
    <row r="26" spans="1:1" x14ac:dyDescent="0.35">
      <c r="A26" t="s">
        <v>239</v>
      </c>
    </row>
    <row r="27" spans="1:1" x14ac:dyDescent="0.35">
      <c r="A27" t="s">
        <v>240</v>
      </c>
    </row>
    <row r="28" spans="1:1" x14ac:dyDescent="0.35">
      <c r="A28" t="s">
        <v>241</v>
      </c>
    </row>
    <row r="29" spans="1:1" x14ac:dyDescent="0.35">
      <c r="A29" t="s">
        <v>242</v>
      </c>
    </row>
    <row r="30" spans="1:1" x14ac:dyDescent="0.35">
      <c r="A30" t="s">
        <v>243</v>
      </c>
    </row>
    <row r="31" spans="1:1" x14ac:dyDescent="0.35">
      <c r="A31" t="s">
        <v>244</v>
      </c>
    </row>
    <row r="32" spans="1:1" x14ac:dyDescent="0.35">
      <c r="A32" t="s">
        <v>245</v>
      </c>
    </row>
    <row r="33" spans="1:1" x14ac:dyDescent="0.35">
      <c r="A33" t="s">
        <v>246</v>
      </c>
    </row>
    <row r="34" spans="1:1" x14ac:dyDescent="0.35">
      <c r="A34" t="s">
        <v>247</v>
      </c>
    </row>
    <row r="35" spans="1:1" x14ac:dyDescent="0.35">
      <c r="A35" t="s">
        <v>248</v>
      </c>
    </row>
    <row r="36" spans="1:1" x14ac:dyDescent="0.35">
      <c r="A36" t="s">
        <v>249</v>
      </c>
    </row>
    <row r="37" spans="1:1" x14ac:dyDescent="0.35">
      <c r="A37" t="s">
        <v>250</v>
      </c>
    </row>
    <row r="38" spans="1:1" x14ac:dyDescent="0.35">
      <c r="A38" t="s">
        <v>251</v>
      </c>
    </row>
    <row r="39" spans="1:1" x14ac:dyDescent="0.35">
      <c r="A39" t="s">
        <v>252</v>
      </c>
    </row>
    <row r="40" spans="1:1" x14ac:dyDescent="0.35">
      <c r="A40" t="s">
        <v>253</v>
      </c>
    </row>
    <row r="42" spans="1:1" x14ac:dyDescent="0.35">
      <c r="A42" t="s">
        <v>254</v>
      </c>
    </row>
    <row r="43" spans="1:1" x14ac:dyDescent="0.35">
      <c r="A43" t="e" cm="1">
        <f t="array" ref="A43">- External sources provide ecosystem-level ranges, not GCC-specific dashboards for individual firms</f>
        <v>#NAME?</v>
      </c>
    </row>
    <row r="44" spans="1:1" x14ac:dyDescent="0.35">
      <c r="A44" t="s">
        <v>255</v>
      </c>
    </row>
    <row r="45" spans="1:1" x14ac:dyDescent="0.35">
      <c r="A45" t="s">
        <v>256</v>
      </c>
    </row>
    <row r="46" spans="1:1" x14ac:dyDescent="0.35">
      <c r="A46" t="s">
        <v>257</v>
      </c>
    </row>
    <row r="47" spans="1:1" x14ac:dyDescent="0.35">
      <c r="A47" t="s">
        <v>258</v>
      </c>
    </row>
    <row r="48" spans="1:1" x14ac:dyDescent="0.35">
      <c r="A48" t="s">
        <v>259</v>
      </c>
    </row>
    <row r="49" spans="1:1" x14ac:dyDescent="0.35">
      <c r="A49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GCC Metrics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Kalilur Rahman</dc:creator>
  <cp:lastModifiedBy>Naseem Banu</cp:lastModifiedBy>
  <dcterms:created xsi:type="dcterms:W3CDTF">2026-03-27T09:07:51Z</dcterms:created>
  <dcterms:modified xsi:type="dcterms:W3CDTF">2026-03-27T09:49:39Z</dcterms:modified>
</cp:coreProperties>
</file>