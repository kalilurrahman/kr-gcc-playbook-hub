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GCC Metrics Benchmark Workbook - Usage Guide</t>
        </is>
      </c>
    </row>
    <row r="3">
      <c r="A3" t="inlineStr">
        <is>
          <t>This workbook consolidates 37 GCC metric groups (with sub-metrics) across talent, hiring, delivery,</t>
        </is>
      </c>
    </row>
    <row r="4">
      <c r="A4" t="inlineStr">
        <is>
          <t>quality, value, and stability.</t>
        </is>
      </c>
    </row>
    <row r="5">
      <c r="A5" t="inlineStr">
        <is>
          <t>For each metric, the Metrics sheet provides: definition, ecosystem observation, best-in-class</t>
        </is>
      </c>
    </row>
    <row r="6">
      <c r="A6" t="inlineStr">
        <is>
          <t>guidance, industry ballparks, GCC size notes, units, example Excel formula patterns, and indicative</t>
        </is>
      </c>
    </row>
    <row r="7">
      <c r="A7" t="inlineStr">
        <is>
          <t>high-performance bounds.</t>
        </is>
      </c>
    </row>
    <row r="8">
      <c r="A8" t="inlineStr">
        <is>
          <t>Use the BofA, JPMC, Optum, Novartis, AstraZeneca, and Novo Nordisk columns to enter actuals and</t>
        </is>
      </c>
    </row>
    <row r="9">
      <c r="A9" t="inlineStr">
        <is>
          <t>compare against the benchmark ranges.</t>
        </is>
      </c>
    </row>
    <row r="11">
      <c r="A11" t="inlineStr">
        <is>
          <t>Key numeric anchors (industry-level, India GCC and global IT benchmarks):</t>
        </is>
      </c>
    </row>
    <row r="12">
      <c r="A12" t="inlineStr">
        <is>
          <t>- Voluntary attrition: sector-low India GCC voluntary attrition is ~12.6% with overall attrition</t>
        </is>
      </c>
    </row>
    <row r="13">
      <c r="A13" t="inlineStr">
        <is>
          <t>~16.9%. Best-in-class GCCs aim to stay at or below this voluntary level, adjusted for city and skill</t>
        </is>
      </c>
    </row>
    <row r="14">
      <c r="A14" t="inlineStr">
        <is>
          <t>mix.</t>
        </is>
      </c>
    </row>
    <row r="15">
      <c r="A15" t="inlineStr">
        <is>
          <t>- Time-to-hire: typical ranges are 30-45 days for most mid-level tech roles and 60-75 days for</t>
        </is>
      </c>
    </row>
    <row r="16">
      <c r="A16" t="inlineStr">
        <is>
          <t>niche/senior roles (requisition to joining), implying ~4-6 weeks from req-to-offer for mid-level.</t>
        </is>
      </c>
    </row>
    <row r="17">
      <c r="A17" t="inlineStr">
        <is>
          <t>- Time-to-onboard: India notice periods are usually 30-60 days (up to 90 for senior talent). High-</t>
        </is>
      </c>
    </row>
    <row r="18">
      <c r="A18" t="inlineStr">
        <is>
          <t>performing GCCs complete all checks and provisioning within this window.</t>
        </is>
      </c>
    </row>
    <row r="19">
      <c r="A19" t="inlineStr">
        <is>
          <t>- Offer-to-join ratio: GCCs and product firms often achieve ~65-70% offer-to-join, compared to</t>
        </is>
      </c>
    </row>
    <row r="20">
      <c r="A20" t="inlineStr">
        <is>
          <t>~45-55% in IT services. Sustained ≥75% on critical roles is considered best-in-class.</t>
        </is>
      </c>
    </row>
    <row r="21">
      <c r="A21" t="inlineStr">
        <is>
          <t>- Headcount growth: ecosystem data for India GCCs shows ~18-24% YoY HC growth in recent years,</t>
        </is>
      </c>
    </row>
    <row r="22">
      <c r="A22" t="inlineStr">
        <is>
          <t>equivalent to roughly 1.5-2.0% MoM for high-growth centers (when aligned to plan).</t>
        </is>
      </c>
    </row>
    <row r="23">
      <c r="A23" t="inlineStr">
        <is>
          <t>- Span of control: for knowledge work, 6-12 ICs per manager is typically optimal; 3-6 for highly</t>
        </is>
      </c>
    </row>
    <row r="24">
      <c r="A24" t="inlineStr">
        <is>
          <t>complex leadership roles; 10-15+ for standardized work. Many GCCs target ~8-10 for first-line</t>
        </is>
      </c>
    </row>
    <row r="25">
      <c r="A25" t="inlineStr">
        <is>
          <t>leaders.</t>
        </is>
      </c>
    </row>
    <row r="26">
      <c r="A26" t="inlineStr">
        <is>
          <t>- SLA adherence: service-desk and ITSM benchmarks commonly treat ≥95% SLA compliance as strong</t>
        </is>
      </c>
    </row>
    <row r="27">
      <c r="A27" t="inlineStr">
        <is>
          <t>performance; 90-95% as watch; &lt;80% as critical.</t>
        </is>
      </c>
    </row>
    <row r="28">
      <c r="A28" t="inlineStr">
        <is>
          <t>- On-time delivery: IT project portfolios often see 60-85% of initiatives delivered on time; high</t>
        </is>
      </c>
    </row>
    <row r="29">
      <c r="A29" t="inlineStr">
        <is>
          <t>performers sustain ~85-95%+ depending on risk appetite and complexity.</t>
        </is>
      </c>
    </row>
    <row r="30">
      <c r="A30" t="inlineStr">
        <is>
          <t>- Change failure rate: DORA research indicates elite DevOps teams operate with 0-15% change failure</t>
        </is>
      </c>
    </row>
    <row r="31">
      <c r="A31" t="inlineStr">
        <is>
          <t>rate (failed changes / total changes).</t>
        </is>
      </c>
    </row>
    <row r="32">
      <c r="A32" t="inlineStr">
        <is>
          <t>- Defect density: high-quality enterprise software typically targets about 1-3 defects per KLOC in</t>
        </is>
      </c>
    </row>
    <row r="33">
      <c r="A33" t="inlineStr">
        <is>
          <t>production; teams track trends over time rather than one universal threshold.</t>
        </is>
      </c>
    </row>
    <row r="34">
      <c r="A34" t="inlineStr">
        <is>
          <t>- Savings vs plan: mature GCC business cases often assume 25-40% cost savings vs equivalent onshore</t>
        </is>
      </c>
    </row>
    <row r="35">
      <c r="A35" t="inlineStr">
        <is>
          <t>delivery; realisation vs plan is typically treated as strong if within roughly -10% to +20% of the</t>
        </is>
      </c>
    </row>
    <row r="36">
      <c r="A36" t="inlineStr">
        <is>
          <t>planned savings.</t>
        </is>
      </c>
    </row>
    <row r="37">
      <c r="A37" t="inlineStr">
        <is>
          <t>- Spend variance vs migration budget: many portfolios consider -10% to +10% vs budget as an</t>
        </is>
      </c>
    </row>
    <row r="38">
      <c r="A38" t="inlineStr">
        <is>
          <t>acceptable variance band on migration spend.</t>
        </is>
      </c>
    </row>
    <row r="39">
      <c r="A39" t="inlineStr">
        <is>
          <t>- Initiatives at risk (red/amber): portfolio RAG dashboards often show 10-25% of initiatives in</t>
        </is>
      </c>
    </row>
    <row r="40">
      <c r="A40" t="inlineStr">
        <is>
          <t>red/amber, depending on aggressiveness and governance.</t>
        </is>
      </c>
    </row>
    <row r="42">
      <c r="A42" t="inlineStr">
        <is>
          <t>Important caveats:</t>
        </is>
      </c>
    </row>
    <row r="43">
      <c r="A43" t="inlineStr">
        <is>
          <t>- External sources provide ecosystem-level ranges, not GCC-specific dashboards for individual firms</t>
        </is>
      </c>
    </row>
    <row r="44">
      <c r="A44" t="inlineStr">
        <is>
          <t>like Bank of America, JPMC, Optum, Novartis, AstraZeneca, or Novo Nordisk.</t>
        </is>
      </c>
    </row>
    <row r="45">
      <c r="A45" t="inlineStr">
        <is>
          <t>- Many metrics such as internal fulfilment %, cross-skilled deployment, AI upskilling share, ideas-</t>
        </is>
      </c>
    </row>
    <row r="46">
      <c r="A46" t="inlineStr">
        <is>
          <t>to-MVP conversion, and KT stability windows are tracked internally or via confidential benchmarking</t>
        </is>
      </c>
    </row>
    <row r="47">
      <c r="A47" t="inlineStr">
        <is>
          <t>and do not have reliable public numeric benchmarks.</t>
        </is>
      </c>
    </row>
    <row r="48">
      <c r="A48" t="inlineStr">
        <is>
          <t>- For such metrics, use the workbook's qualitative guidance and your own historical data and peer</t>
        </is>
      </c>
    </row>
    <row r="49">
      <c r="A49" t="inlineStr">
        <is>
          <t>studies to set realistic best-in-class targets and RAG thresholds.</t>
        </is>
      </c>
    </row>
    <row r="51">
      <c r="A51" t="inlineStr">
        <is>
          <t>How to extend this workbook:</t>
        </is>
      </c>
    </row>
    <row r="52">
      <c r="A52" t="inlineStr">
        <is>
          <t>- Add additional GCCs in new columns to benchmark a broader portfolio.</t>
        </is>
      </c>
    </row>
    <row r="53">
      <c r="A53" t="inlineStr">
        <is>
          <t>- Create pivot tables and charts on top of the Metrics sheet to visualise gaps vs high-performance</t>
        </is>
      </c>
    </row>
    <row r="54">
      <c r="A54" t="inlineStr">
        <is>
          <t>ranges.</t>
        </is>
      </c>
    </row>
    <row r="55">
      <c r="A55" t="inlineStr">
        <is>
          <t>- For each metric, localise thresholds by city, skill family, and GCC size (S/M/L) using the size</t>
        </is>
      </c>
    </row>
    <row r="56">
      <c r="A56" t="inlineStr">
        <is>
          <t>notes as starting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 # (from your list)</t>
        </is>
      </c>
      <c r="B1" s="1" t="inlineStr">
        <is>
          <t>Row ID</t>
        </is>
      </c>
      <c r="C1" s="1" t="inlineStr">
        <is>
          <t>Metric name</t>
        </is>
      </c>
      <c r="D1" s="1" t="inlineStr">
        <is>
          <t>Definition (simplified)</t>
        </is>
      </c>
      <c r="E1" s="1" t="inlineStr">
        <is>
          <t>Ecosystem range / observation</t>
        </is>
      </c>
      <c r="F1" s="1" t="inlineStr">
        <is>
          <t>Best-in-class target guidance</t>
        </is>
      </c>
      <c r="G1" s="1" t="inlineStr">
        <is>
          <t>BofA GCC</t>
        </is>
      </c>
      <c r="H1" s="1" t="inlineStr">
        <is>
          <t>JPMC GCC</t>
        </is>
      </c>
      <c r="I1" s="1" t="inlineStr">
        <is>
          <t>Optum GCC</t>
        </is>
      </c>
      <c r="J1" s="1" t="inlineStr">
        <is>
          <t>Novartis GCC</t>
        </is>
      </c>
      <c r="K1" s="1" t="inlineStr">
        <is>
          <t>AstraZeneca GCC</t>
        </is>
      </c>
      <c r="L1" s="1" t="inlineStr">
        <is>
          <t>Novo Nordisk GCC</t>
        </is>
      </c>
      <c r="M1" s="1" t="inlineStr">
        <is>
          <t>Industry ballpark (where available)</t>
        </is>
      </c>
      <c r="N1" s="1" t="inlineStr">
        <is>
          <t>GCC-size notes (S/M/L)</t>
        </is>
      </c>
      <c r="O1" s="1" t="inlineStr">
        <is>
          <t>Unit</t>
        </is>
      </c>
      <c r="P1" s="1" t="inlineStr">
        <is>
          <t>Example Excel formula (pattern)</t>
        </is>
      </c>
      <c r="Q1" s="1" t="inlineStr">
        <is>
          <t>Indicative high-performance lower bound</t>
        </is>
      </c>
      <c r="R1" s="1" t="inlineStr">
        <is>
          <t>Indicative high-performance upper bound</t>
        </is>
      </c>
    </row>
    <row r="2">
      <c r="A2" t="n">
        <v>1</v>
      </c>
      <c r="B2" t="n">
        <v>1</v>
      </c>
      <c r="C2" t="inlineStr">
        <is>
          <t>Split of HC (onshore : offshore ; vendor vs FTE)</t>
        </is>
      </c>
      <c r="D2" t="inlineStr">
        <is>
          <t>Total HC split by onshore/offshore and, within each, FTE vs vendor</t>
        </is>
      </c>
      <c r="E2" t="inlineStr">
        <is>
          <t>No published cross-GCC numeric benchmark; tracked internally and/or in consulting studies</t>
        </is>
      </c>
      <c r="F2" t="inlineStr">
        <is>
          <t>Use internal historical data and peer benchmarking to define targets; for ratio metrics aspiration is as close to 100% as context allows</t>
        </is>
      </c>
      <c r="O2" t="inlineStr">
        <is>
          <t>% / share</t>
        </is>
      </c>
    </row>
    <row r="3">
      <c r="A3" t="n">
        <v>1</v>
      </c>
      <c r="B3" t="n">
        <v>2</v>
      </c>
      <c r="C3" t="inlineStr">
        <is>
          <t>HC growth (MoM)</t>
        </is>
      </c>
      <c r="D3" t="inlineStr">
        <is>
          <t>(HC current - HC previous) / HC previous</t>
        </is>
      </c>
      <c r="E3" t="inlineStr">
        <is>
          <t>India GCC HC ~18-24% YoY growth (≈1.5-2.0% MoM equivalent for high-growth centers)</t>
        </is>
      </c>
      <c r="F3" t="inlineStr">
        <is>
          <t>Align with or exceed business plan; ~1.5-2.0% MoM only where rapid expansion is planned</t>
        </is>
      </c>
      <c r="M3" t="inlineStr">
        <is>
          <t>India GCCs ~18-24% YoY HC growth (≈1.5-2.0% MoM equivalent for high-growth centers)</t>
        </is>
      </c>
      <c r="N3" t="inlineStr">
        <is>
          <t>Smaller/new GCCs often grow faster in % terms; large mature GCCs grow closer to overall enterprise HC growth.</t>
        </is>
      </c>
      <c r="O3" t="inlineStr">
        <is>
          <t>% (per month)</t>
        </is>
      </c>
      <c r="P3">
        <f>(HC_current - HC_previous) / HC_previous</f>
        <v/>
      </c>
      <c r="Q3" t="n">
        <v>0</v>
      </c>
      <c r="R3" t="n">
        <v>0.02</v>
      </c>
    </row>
    <row r="4">
      <c r="A4" t="n">
        <v>1</v>
      </c>
      <c r="B4" t="n">
        <v>3</v>
      </c>
      <c r="C4" t="inlineStr">
        <is>
          <t>Vendor growth (MoM)</t>
        </is>
      </c>
      <c r="D4" t="inlineStr">
        <is>
          <t>(Vendor HC current - Vendor HC previous) / Vendor HC previous</t>
        </is>
      </c>
      <c r="E4" t="inlineStr">
        <is>
          <t>No published cross-GCC numeric benchmark; tracked internally and/or in consulting studies</t>
        </is>
      </c>
      <c r="F4" t="inlineStr">
        <is>
          <t>Use internal historical data and peer benchmarking to define targets; for ratio metrics aspiration is as close to 100% as context allows</t>
        </is>
      </c>
      <c r="P4">
        <f>(VendorHC_current - VendorHC_previous) / VendorHC_previous</f>
        <v/>
      </c>
    </row>
    <row r="5">
      <c r="A5" t="n">
        <v>2</v>
      </c>
      <c r="B5" t="n">
        <v>4</v>
      </c>
      <c r="C5" t="inlineStr">
        <is>
          <t>Pyramid mix (B1-B4 GCC vs org)</t>
        </is>
      </c>
      <c r="D5" t="inlineStr">
        <is>
          <t>Relative share of each band in GCC vs global org</t>
        </is>
      </c>
      <c r="E5" t="inlineStr">
        <is>
          <t>No published cross-GCC numeric benchmark; tracked internally and/or in consulting studies</t>
        </is>
      </c>
      <c r="F5" t="inlineStr">
        <is>
          <t>Use internal historical data and peer benchmarking to define targets; for ratio metrics aspiration is as close to 100% as context allows</t>
        </is>
      </c>
    </row>
    <row r="6">
      <c r="A6" t="n">
        <v>2</v>
      </c>
      <c r="B6" t="n">
        <v>5</v>
      </c>
      <c r="C6" t="inlineStr">
        <is>
          <t>Share of backfill / n-1 fill / rotation</t>
        </is>
      </c>
      <c r="D6" t="inlineStr">
        <is>
          <t>FTEs rotated out after 18-24 months / total FTEs</t>
        </is>
      </c>
      <c r="E6" t="inlineStr">
        <is>
          <t>No published cross-GCC numeric benchmark; tracked internally and/or in consulting studies</t>
        </is>
      </c>
      <c r="F6" t="inlineStr">
        <is>
          <t>Use internal historical data and peer benchmarking to define targets; for ratio metrics aspiration is as close to 100% as context allows</t>
        </is>
      </c>
    </row>
    <row r="7">
      <c r="A7" t="n">
        <v>3</v>
      </c>
      <c r="B7" t="n">
        <v>6</v>
      </c>
      <c r="C7" t="inlineStr">
        <is>
          <t>Cost to hire (cost per FTE)</t>
        </is>
      </c>
      <c r="D7" t="inlineStr">
        <is>
          <t>Total hiring costs / number of hires</t>
        </is>
      </c>
      <c r="E7" t="inlineStr">
        <is>
          <t>No published cross-GCC numeric benchmark; tracked internally and/or in consulting studies</t>
        </is>
      </c>
      <c r="F7" t="inlineStr">
        <is>
          <t>Use internal historical data and peer benchmarking to define targets; for ratio metrics aspiration is as close to 100% as context allows</t>
        </is>
      </c>
    </row>
    <row r="8">
      <c r="A8" t="n">
        <v>3</v>
      </c>
      <c r="B8" t="n">
        <v>7</v>
      </c>
      <c r="C8" t="inlineStr">
        <is>
          <t>Proactive hiring</t>
        </is>
      </c>
      <c r="D8" t="inlineStr">
        <is>
          <t>% of hires made against investment/bench codes without specific demand</t>
        </is>
      </c>
      <c r="E8" t="inlineStr">
        <is>
          <t>No published cross-GCC numeric benchmark; tracked internally and/or in consulting studies</t>
        </is>
      </c>
      <c r="F8" t="inlineStr">
        <is>
          <t>Use internal historical data and peer benchmarking to define targets; for ratio metrics aspiration is as close to 100% as context allows</t>
        </is>
      </c>
    </row>
    <row r="9">
      <c r="A9" t="n">
        <v>4</v>
      </c>
      <c r="B9" t="n">
        <v>8</v>
      </c>
      <c r="C9" t="inlineStr">
        <is>
          <t>On time demand fulfilment rate</t>
        </is>
      </c>
      <c r="D9" t="inlineStr">
        <is>
          <t>On-time fulfilled demand / total valid demand</t>
        </is>
      </c>
      <c r="E9" t="inlineStr">
        <is>
          <t>No published cross-GCC numeric benchmark; tracked internally and/or in consulting studies</t>
        </is>
      </c>
      <c r="F9" t="inlineStr">
        <is>
          <t>Use internal historical data and peer benchmarking to define targets; for ratio metrics aspiration is as close to 100% as context allows</t>
        </is>
      </c>
      <c r="M9" t="inlineStr">
        <is>
          <t>No published GCC-specific %, but many TA/portfolio teams target near-100% on-time fulfilment for critical roles and initiatives.</t>
        </is>
      </c>
      <c r="N9" t="inlineStr">
        <is>
          <t>Larger GCCs may accept differentiated targets by tower; smaller GCCs often need very high fulfilment for credibility during ramp.</t>
        </is>
      </c>
      <c r="O9" t="inlineStr">
        <is>
          <t>%</t>
        </is>
      </c>
      <c r="P9">
        <f>Favourable_Events / Total_Events</f>
        <v/>
      </c>
    </row>
    <row r="10">
      <c r="A10" t="n">
        <v>5</v>
      </c>
      <c r="B10" t="n">
        <v>9</v>
      </c>
      <c r="C10" t="inlineStr">
        <is>
          <t>Overall fulfilment rate</t>
        </is>
      </c>
      <c r="D10" t="inlineStr">
        <is>
          <t>Closed demand / total demand raised</t>
        </is>
      </c>
      <c r="E10" t="inlineStr">
        <is>
          <t>No published cross-GCC numeric benchmark; tracked internally and/or in consulting studies</t>
        </is>
      </c>
      <c r="F10" t="inlineStr">
        <is>
          <t>Use internal historical data and peer benchmarking to define targets; for ratio metrics aspiration is as close to 100% as context allows</t>
        </is>
      </c>
      <c r="M10" t="inlineStr">
        <is>
          <t>No external standard; many organisations aim to close the vast majority of validated demand, using cancellations/aging as health checks.</t>
        </is>
      </c>
      <c r="N10" t="inlineStr">
        <is>
          <t>Large GCCs may see more demand churn; small GCCs typically try to keep open vs closed gaps minimal to build trust.</t>
        </is>
      </c>
      <c r="O10" t="inlineStr">
        <is>
          <t>%</t>
        </is>
      </c>
      <c r="P10">
        <f>Favourable_Events / Total_Events</f>
        <v/>
      </c>
    </row>
    <row r="11">
      <c r="A11" t="n">
        <v>6</v>
      </c>
      <c r="B11" t="n">
        <v>10</v>
      </c>
      <c r="C11" t="inlineStr">
        <is>
          <t>Voluntary attrition (%)</t>
        </is>
      </c>
      <c r="D11" t="inlineStr">
        <is>
          <t>Voluntary exits / average FTEs</t>
        </is>
      </c>
      <c r="E11" t="inlineStr">
        <is>
          <t>2024 India GCC: voluntary attrition ~12.6%; overall attrition ~16.9% at sector low</t>
        </is>
      </c>
      <c r="F11" t="inlineStr">
        <is>
          <t>Voluntary attrition ≤12-13% and materially below local market benchmark</t>
        </is>
      </c>
      <c r="M11" t="inlineStr">
        <is>
          <t>India GCC 2024: voluntary attrition ~12.6%; overall attrition ~16.9% at sector low.</t>
        </is>
      </c>
      <c r="N11" t="inlineStr">
        <is>
          <t>Smaller/specialist GCCs in stable cities can operate in low-teens; very large multi-tower GCCs in hot markets tend toward mid-teens+.</t>
        </is>
      </c>
      <c r="O11" t="inlineStr">
        <is>
          <t>% annual</t>
        </is>
      </c>
      <c r="P11">
        <f>Voluntary_Exits / Average_FTE</f>
        <v/>
      </c>
      <c r="Q11" t="n">
        <v>0</v>
      </c>
      <c r="R11" t="n">
        <v>0.13</v>
      </c>
    </row>
    <row r="12">
      <c r="A12" t="n">
        <v>7</v>
      </c>
      <c r="B12" t="n">
        <v>11</v>
      </c>
      <c r="C12" t="inlineStr">
        <is>
          <t>Band-wise distribution (B1-B5)</t>
        </is>
      </c>
      <c r="D12" t="inlineStr">
        <is>
          <t>HC in band X / total GCC HC</t>
        </is>
      </c>
      <c r="E12" t="inlineStr">
        <is>
          <t>No published cross-GCC numeric benchmark; tracked internally and/or in consulting studies</t>
        </is>
      </c>
      <c r="F12" t="inlineStr">
        <is>
          <t>Use internal historical data and peer benchmarking to define targets; for ratio metrics aspiration is as close to 100% as context allows</t>
        </is>
      </c>
    </row>
    <row r="13">
      <c r="A13" t="n">
        <v>7</v>
      </c>
      <c r="B13" t="n">
        <v>12</v>
      </c>
      <c r="C13" t="inlineStr">
        <is>
          <t>Internal fulfilment / bench strength</t>
        </is>
      </c>
      <c r="D13" t="inlineStr">
        <is>
          <t>Demand fulfilled from bench &amp; roll-offs / total fulfilled demand</t>
        </is>
      </c>
      <c r="E13" t="inlineStr">
        <is>
          <t>No published cross-GCC numeric benchmark; tracked internally and/or in consulting studies</t>
        </is>
      </c>
      <c r="F13" t="inlineStr">
        <is>
          <t>Use internal historical data and peer benchmarking to define targets; for ratio metrics aspiration is as close to 100% as context allows</t>
        </is>
      </c>
    </row>
    <row r="14">
      <c r="A14" t="n">
        <v>7</v>
      </c>
      <c r="B14" t="n">
        <v>13</v>
      </c>
      <c r="C14" t="inlineStr">
        <is>
          <t>QoQ growth across B1-B5</t>
        </is>
      </c>
      <c r="D14" t="inlineStr">
        <is>
          <t>(HC current qtr - HC previous qtr in band X) / HC previous qtr</t>
        </is>
      </c>
      <c r="E14" t="inlineStr">
        <is>
          <t>No published cross-GCC numeric benchmark; tracked internally and/or in consulting studies</t>
        </is>
      </c>
      <c r="F14" t="inlineStr">
        <is>
          <t>Use internal historical data and peer benchmarking to define targets; for ratio metrics aspiration is as close to 100% as context allows</t>
        </is>
      </c>
      <c r="P14">
        <f>(Current_Value - Previous_Value) / Previous_Value</f>
        <v/>
      </c>
    </row>
    <row r="15">
      <c r="A15" t="n">
        <v>8</v>
      </c>
      <c r="B15" t="n">
        <v>14</v>
      </c>
      <c r="C15" t="inlineStr">
        <is>
          <t>T1-T4 split across teams</t>
        </is>
      </c>
      <c r="D15" t="inlineStr">
        <is>
          <t>Number of teams in Tx / total teams</t>
        </is>
      </c>
      <c r="E15" t="inlineStr">
        <is>
          <t>No published cross-GCC numeric benchmark; tracked internally and/or in consulting studies</t>
        </is>
      </c>
      <c r="F15" t="inlineStr">
        <is>
          <t>Use internal historical data and peer benchmarking to define targets; for ratio metrics aspiration is as close to 100% as context allows</t>
        </is>
      </c>
      <c r="O15" t="inlineStr">
        <is>
          <t>count</t>
        </is>
      </c>
    </row>
    <row r="16">
      <c r="A16" t="n">
        <v>9</v>
      </c>
      <c r="B16" t="n">
        <v>15</v>
      </c>
      <c r="C16" t="inlineStr">
        <is>
          <t>Lead time to deployment</t>
        </is>
      </c>
      <c r="D16" t="inlineStr">
        <is>
          <t>Days between hiring and actual deployment on a project</t>
        </is>
      </c>
      <c r="E16" t="inlineStr">
        <is>
          <t>No published cross-GCC numeric benchmark; tracked internally and/or in consulting studies</t>
        </is>
      </c>
      <c r="F16" t="inlineStr">
        <is>
          <t>Use internal historical data and peer benchmarking to define targets; for ratio metrics aspiration is as close to 100% as context allows</t>
        </is>
      </c>
      <c r="O16" t="inlineStr">
        <is>
          <t>days</t>
        </is>
      </c>
    </row>
    <row r="17">
      <c r="A17" t="n">
        <v>10</v>
      </c>
      <c r="B17" t="n">
        <v>16</v>
      </c>
      <c r="C17" t="inlineStr">
        <is>
          <t>Cross-skilled deployment</t>
        </is>
      </c>
      <c r="D17" t="inlineStr">
        <is>
          <t>Share of internal fulfilment via cross-skilled resources</t>
        </is>
      </c>
      <c r="E17" t="inlineStr">
        <is>
          <t>No published cross-GCC numeric benchmark; tracked internally and/or in consulting studies</t>
        </is>
      </c>
      <c r="F17" t="inlineStr">
        <is>
          <t>Use internal historical data and peer benchmarking to define targets; for ratio metrics aspiration is as close to 100% as context allows</t>
        </is>
      </c>
    </row>
    <row r="18">
      <c r="A18" t="n">
        <v>10</v>
      </c>
      <c r="B18" t="n">
        <v>17</v>
      </c>
      <c r="C18" t="inlineStr">
        <is>
          <t>Upskill of bench resources</t>
        </is>
      </c>
      <c r="D18" t="inlineStr">
        <is>
          <t>HC upskilled in quarter / total HC</t>
        </is>
      </c>
      <c r="E18" t="inlineStr">
        <is>
          <t>No published cross-GCC numeric benchmark; tracked internally and/or in consulting studies</t>
        </is>
      </c>
      <c r="F18" t="inlineStr">
        <is>
          <t>Use internal historical data and peer benchmarking to define targets; for ratio metrics aspiration is as close to 100% as context allows</t>
        </is>
      </c>
    </row>
    <row r="19">
      <c r="A19" t="n">
        <v>10</v>
      </c>
      <c r="B19" t="n">
        <v>18</v>
      </c>
      <c r="C19" t="inlineStr">
        <is>
          <t>AI upskilling</t>
        </is>
      </c>
      <c r="D19" t="inlineStr">
        <is>
          <t>HC upskilled in AI / total HC</t>
        </is>
      </c>
      <c r="E19" t="inlineStr">
        <is>
          <t>No published cross-GCC numeric benchmark; tracked internally and/or in consulting studies</t>
        </is>
      </c>
      <c r="F19" t="inlineStr">
        <is>
          <t>Use internal historical data and peer benchmarking to define targets; for ratio metrics aspiration is as close to 100% as context allows</t>
        </is>
      </c>
    </row>
    <row r="20">
      <c r="A20" t="n">
        <v>11</v>
      </c>
      <c r="B20" t="n">
        <v>19</v>
      </c>
      <c r="C20" t="inlineStr">
        <is>
          <t>Recruiter productivity</t>
        </is>
      </c>
      <c r="D20" t="inlineStr">
        <is>
          <t>Hires per recruiter per month</t>
        </is>
      </c>
      <c r="E20" t="inlineStr">
        <is>
          <t>No published cross-GCC numeric benchmark; tracked internally and/or in consulting studies</t>
        </is>
      </c>
      <c r="F20" t="inlineStr">
        <is>
          <t>Use internal historical data and peer benchmarking to define targets; for ratio metrics aspiration is as close to 100% as context allows</t>
        </is>
      </c>
    </row>
    <row r="21">
      <c r="A21" t="n">
        <v>12</v>
      </c>
      <c r="B21" t="n">
        <v>20</v>
      </c>
      <c r="C21" t="inlineStr">
        <is>
          <t>Time to hire (weeks)</t>
        </is>
      </c>
      <c r="D21" t="inlineStr">
        <is>
          <t>Days from req approval to joining date</t>
        </is>
      </c>
      <c r="E21" t="inlineStr">
        <is>
          <t>GCC &amp; India RPO: 30-45 days for general roles; 60-75 days for niche/senior; 60-120 days including notice</t>
        </is>
      </c>
      <c r="F21" t="inlineStr">
        <is>
          <t>4-6 weeks req-to-offer for mid-level roles; sit at lower end of ranges for other levels</t>
        </is>
      </c>
      <c r="M21" t="inlineStr">
        <is>
          <t>30-45 days for most mid-level tech roles; 60-75 days for niche/senior; ≈4-6 weeks req-to-offer for mid-level.</t>
        </is>
      </c>
      <c r="N21" t="inlineStr">
        <is>
          <t>Larger GCCs with strong employer brand and captive TA often sit at lower end of ranges; very small/new GCCs may be slower until brand builds.</t>
        </is>
      </c>
      <c r="O21" t="inlineStr">
        <is>
          <t>days</t>
        </is>
      </c>
      <c r="P21">
        <f>DATEDIF(Req_Approval_Date, Joining_Date, "D")</f>
        <v/>
      </c>
      <c r="Q21" t="n">
        <v>0</v>
      </c>
      <c r="R21" t="n">
        <v>45</v>
      </c>
    </row>
    <row r="22">
      <c r="A22" t="n">
        <v>12</v>
      </c>
      <c r="B22" t="n">
        <v>21</v>
      </c>
      <c r="C22" t="inlineStr">
        <is>
          <t>Sourcing funnel by stage</t>
        </is>
      </c>
      <c r="D22" t="inlineStr">
        <is>
          <t>Days spent in screening, interviews, offer stages</t>
        </is>
      </c>
      <c r="E22" t="inlineStr">
        <is>
          <t>No published cross-GCC numeric benchmark; tracked internally and/or in consulting studies</t>
        </is>
      </c>
      <c r="F22" t="inlineStr">
        <is>
          <t>Use internal historical data and peer benchmarking to define targets; for ratio metrics aspiration is as close to 100% as context allows</t>
        </is>
      </c>
    </row>
    <row r="23">
      <c r="A23" t="n">
        <v>13</v>
      </c>
      <c r="B23" t="n">
        <v>22</v>
      </c>
      <c r="C23" t="inlineStr">
        <is>
          <t>Time to onboard (weeks)</t>
        </is>
      </c>
      <c r="D23" t="inlineStr">
        <is>
          <t>Days between offer acceptance and joining</t>
        </is>
      </c>
      <c r="E23" t="inlineStr">
        <is>
          <t>India notice periods typically 30-60 days (up to 90 for senior); onboarding fits within this window</t>
        </is>
      </c>
      <c r="F23" t="inlineStr">
        <is>
          <t>No slippage beyond contractual notice; all checks and provisioning completed before joining</t>
        </is>
      </c>
      <c r="M23" t="inlineStr">
        <is>
          <t>India notice periods typically 30-60 days (up to 90 for senior talent); onboarding is usually completed within this window.</t>
        </is>
      </c>
      <c r="N23" t="inlineStr">
        <is>
          <t>Not strongly size-dependent; larger GCCs may have more industrialised onboarding processes to avoid slippage beyond notice period.</t>
        </is>
      </c>
      <c r="O23" t="inlineStr">
        <is>
          <t>days</t>
        </is>
      </c>
      <c r="P23">
        <f>DATEDIF(Offer_Accept_Date, Joining_Date, "D")</f>
        <v/>
      </c>
      <c r="Q23" t="n">
        <v>30</v>
      </c>
      <c r="R23" t="n">
        <v>60</v>
      </c>
    </row>
    <row r="24">
      <c r="A24" t="n">
        <v>14</v>
      </c>
      <c r="B24" t="n">
        <v>23</v>
      </c>
      <c r="C24" t="inlineStr">
        <is>
          <t>Sourcing channel split</t>
        </is>
      </c>
      <c r="D24" t="inlineStr">
        <is>
          <t>Hires via each channel / total hires</t>
        </is>
      </c>
      <c r="E24" t="inlineStr">
        <is>
          <t>No published cross-GCC numeric benchmark; tracked internally and/or in consulting studies</t>
        </is>
      </c>
      <c r="F24" t="inlineStr">
        <is>
          <t>Use internal historical data and peer benchmarking to define targets; for ratio metrics aspiration is as close to 100% as context allows</t>
        </is>
      </c>
      <c r="O24" t="inlineStr">
        <is>
          <t>% / share</t>
        </is>
      </c>
    </row>
    <row r="25">
      <c r="A25" t="n">
        <v>15</v>
      </c>
      <c r="B25" t="n">
        <v>24</v>
      </c>
      <c r="C25" t="inlineStr">
        <is>
          <t>Offer to join ratio</t>
        </is>
      </c>
      <c r="D25" t="inlineStr">
        <is>
          <t>Joinees / offers released</t>
        </is>
      </c>
      <c r="E25" t="inlineStr">
        <is>
          <t>GCCs &amp; product firms: ~65-70% acceptance/joining vs ~45-55% for IT services</t>
        </is>
      </c>
      <c r="F25" t="inlineStr">
        <is>
          <t>≥75% for critical roles and ≥70% sustained at portfolio level</t>
        </is>
      </c>
      <c r="M25" t="inlineStr">
        <is>
          <t>GCCs &amp; product firms often see ~65-70% offer-to-join vs ~45-55% in IT services.</t>
        </is>
      </c>
      <c r="N25" t="inlineStr">
        <is>
          <t>Large, established GCC brands in BFSI and Life Sciences tend to be at the upper end of this range; new/smaller GCCs may start lower.</t>
        </is>
      </c>
      <c r="O25" t="inlineStr">
        <is>
          <t>%</t>
        </is>
      </c>
      <c r="P25">
        <f>Joinees / Offers_Released</f>
        <v/>
      </c>
      <c r="Q25" t="n">
        <v>0.7</v>
      </c>
      <c r="R25" t="n">
        <v>1</v>
      </c>
    </row>
    <row r="26">
      <c r="A26" t="n">
        <v>16</v>
      </c>
      <c r="B26" t="n">
        <v>25</v>
      </c>
      <c r="C26" t="inlineStr">
        <is>
          <t>Fresher hire ratio</t>
        </is>
      </c>
      <c r="D26" t="inlineStr">
        <is>
          <t>Fresher hires / total hires</t>
        </is>
      </c>
      <c r="E26" t="inlineStr">
        <is>
          <t>GCCs driving large fresher volumes (hundreds of thousands of roles, ~48% YoY growth in fresher hiring), but no standard % of total hires published</t>
        </is>
      </c>
      <c r="F26" t="inlineStr">
        <is>
          <t>Set by capability strategy and campus strength; benchmark against own 3-year mix and peer data</t>
        </is>
      </c>
      <c r="O26" t="inlineStr">
        <is>
          <t>%</t>
        </is>
      </c>
      <c r="P26">
        <f>Numerator / Denominator</f>
        <v/>
      </c>
    </row>
    <row r="27">
      <c r="A27" t="n">
        <v>17</v>
      </c>
      <c r="B27" t="n">
        <v>26</v>
      </c>
      <c r="C27" t="inlineStr">
        <is>
          <t>Demand forecasting accuracy</t>
        </is>
      </c>
      <c r="D27" t="inlineStr">
        <is>
          <t>Forecasted positions (60 days out) / actual positions fulfilled</t>
        </is>
      </c>
      <c r="E27" t="inlineStr">
        <is>
          <t>No published cross-GCC numeric benchmark; tracked internally and/or in consulting studies</t>
        </is>
      </c>
      <c r="F27" t="inlineStr">
        <is>
          <t>Use internal historical data and peer benchmarking to define targets; for ratio metrics aspiration is as close to 100% as context allows</t>
        </is>
      </c>
      <c r="M27" t="inlineStr">
        <is>
          <t>No GCC-specific benchmark; many workforce-planning teams consider ±10-15% variance at 60-90 days as reasonable for dynamic tech demand.</t>
        </is>
      </c>
      <c r="N27" t="inlineStr">
        <is>
          <t>Mature, large GCCs with stable portfolios can move toward tighter bands; very small or rapidly scaling GCCs will see more volatility.</t>
        </is>
      </c>
      <c r="O27" t="inlineStr">
        <is>
          <t>%</t>
        </is>
      </c>
    </row>
    <row r="28">
      <c r="A28" t="n">
        <v>18</v>
      </c>
      <c r="B28" t="n">
        <v>27</v>
      </c>
      <c r="C28" t="inlineStr">
        <is>
          <t>Spans across L1-L3</t>
        </is>
      </c>
      <c r="D28" t="inlineStr">
        <is>
          <t>ICs per leader at each level</t>
        </is>
      </c>
      <c r="E28" t="inlineStr">
        <is>
          <t>Knowledge work guidance: optimal spans usually 6-12; 3-6 for very complex; 10-15+ for standardized work</t>
        </is>
      </c>
      <c r="F28" t="inlineStr">
        <is>
          <t>L1 spans ~8-10; narrower spans for complex domains/senior leaders; avoid spans &lt;5 or &gt;15</t>
        </is>
      </c>
      <c r="M28" t="inlineStr">
        <is>
          <t>Knowledge work benchmarks: 6-12 directs per manager is typical; 3-6 for highly complex leadership roles; 10-15+ for standardised work.</t>
        </is>
      </c>
      <c r="N28" t="inlineStr">
        <is>
          <t>Very large GCCs often standardise on target spans (e.g., 8-10 for L1) to manage cost; small GCCs may have narrower spans in early years.</t>
        </is>
      </c>
      <c r="O28" t="inlineStr">
        <is>
          <t>ICs per leader</t>
        </is>
      </c>
      <c r="P28">
        <f>IC_Count_Lx / Leader_Count_Lx</f>
        <v/>
      </c>
      <c r="Q28" t="n">
        <v>6</v>
      </c>
      <c r="R28" t="n">
        <v>12</v>
      </c>
    </row>
    <row r="29">
      <c r="A29" t="n">
        <v>18</v>
      </c>
      <c r="B29" t="n">
        <v>28</v>
      </c>
      <c r="C29" t="inlineStr">
        <is>
          <t>Distribution of people leader vs IC</t>
        </is>
      </c>
      <c r="D29" t="inlineStr">
        <is>
          <t>People leaders / total HC at L1-L3</t>
        </is>
      </c>
      <c r="E29" t="inlineStr">
        <is>
          <t>No published cross-GCC numeric benchmark; tracked internally and/or in consulting studies</t>
        </is>
      </c>
      <c r="F29" t="inlineStr">
        <is>
          <t>Use internal historical data and peer benchmarking to define targets; for ratio metrics aspiration is as close to 100% as context allows</t>
        </is>
      </c>
    </row>
    <row r="30">
      <c r="A30" t="n">
        <v>19</v>
      </c>
      <c r="B30" t="n">
        <v>29</v>
      </c>
      <c r="C30" t="inlineStr">
        <is>
          <t>Overall capability split onshore vs GCC</t>
        </is>
      </c>
      <c r="D30" t="inlineStr">
        <is>
          <t>Capabilities in GCC / total capabilities</t>
        </is>
      </c>
      <c r="E30" t="inlineStr">
        <is>
          <t>No published cross-GCC numeric benchmark; tracked internally and/or in consulting studies</t>
        </is>
      </c>
      <c r="F30" t="inlineStr">
        <is>
          <t>Use internal historical data and peer benchmarking to define targets; for ratio metrics aspiration is as close to 100% as context allows</t>
        </is>
      </c>
      <c r="O30" t="inlineStr">
        <is>
          <t>% / share</t>
        </is>
      </c>
    </row>
    <row r="31">
      <c r="A31" t="n">
        <v>20</v>
      </c>
      <c r="B31" t="n">
        <v>30</v>
      </c>
      <c r="C31" t="inlineStr">
        <is>
          <t>E2E capability split onshore vs GCC</t>
        </is>
      </c>
      <c r="D31" t="inlineStr">
        <is>
          <t>E2E capabilities in GCC / total capabilities</t>
        </is>
      </c>
      <c r="E31" t="inlineStr">
        <is>
          <t>No published cross-GCC numeric benchmark; tracked internally and/or in consulting studies</t>
        </is>
      </c>
      <c r="F31" t="inlineStr">
        <is>
          <t>Use internal historical data and peer benchmarking to define targets; for ratio metrics aspiration is as close to 100% as context allows</t>
        </is>
      </c>
      <c r="O31" t="inlineStr">
        <is>
          <t>% / share</t>
        </is>
      </c>
    </row>
    <row r="32">
      <c r="A32" t="n">
        <v>21</v>
      </c>
      <c r="B32" t="n">
        <v>31</v>
      </c>
      <c r="C32" t="inlineStr">
        <is>
          <t>SLA adherence</t>
        </is>
      </c>
      <c r="D32" t="inlineStr">
        <is>
          <t>Sprints with SLA met / total sprints</t>
        </is>
      </c>
      <c r="E32" t="inlineStr">
        <is>
          <t>No published cross-GCC numeric benchmark; tracked internally and/or in consulting studies</t>
        </is>
      </c>
      <c r="F32" t="inlineStr">
        <is>
          <t>Use internal historical data and peer benchmarking to define targets; for ratio metrics aspiration is as close to 100% as context allows</t>
        </is>
      </c>
      <c r="M32" t="inlineStr">
        <is>
          <t>&gt;=95% SLA compliance widely cited as good practice; 90-95% acceptable; &lt;80% critical.</t>
        </is>
      </c>
      <c r="N32" t="inlineStr">
        <is>
          <t>Not strongly size-driven; larger GCCs may have more mature ITSM processes making it easier to sustain &gt;95%.</t>
        </is>
      </c>
      <c r="O32" t="inlineStr">
        <is>
          <t>%</t>
        </is>
      </c>
      <c r="P32">
        <f>Sprints_With_SLA_Met / Total_Sprints</f>
        <v/>
      </c>
      <c r="Q32" t="n">
        <v>0.95</v>
      </c>
      <c r="R32" t="n">
        <v>1</v>
      </c>
    </row>
    <row r="33">
      <c r="A33" t="n">
        <v>22</v>
      </c>
      <c r="B33" t="n">
        <v>32</v>
      </c>
      <c r="C33" t="inlineStr">
        <is>
          <t>Predictability (delivery vs plan)</t>
        </is>
      </c>
      <c r="D33" t="inlineStr">
        <is>
          <t>Sprints where actual = planned delivery date / total sprints</t>
        </is>
      </c>
      <c r="E33" t="inlineStr">
        <is>
          <t>No published cross-GCC numeric benchmark; tracked internally and/or in consulting studies</t>
        </is>
      </c>
      <c r="F33" t="inlineStr">
        <is>
          <t>Use internal historical data and peer benchmarking to define targets; for ratio metrics aspiration is as close to 100% as context allows</t>
        </is>
      </c>
    </row>
    <row r="34">
      <c r="A34" t="n">
        <v>23</v>
      </c>
      <c r="B34" t="n">
        <v>33</v>
      </c>
      <c r="C34" t="inlineStr">
        <is>
          <t>Sprint velocity</t>
        </is>
      </c>
      <c r="D34" t="inlineStr">
        <is>
          <t>Sprints delivered by GCC / total sprints</t>
        </is>
      </c>
      <c r="E34" t="inlineStr">
        <is>
          <t>No published cross-GCC numeric benchmark; tracked internally and/or in consulting studies</t>
        </is>
      </c>
      <c r="F34" t="inlineStr">
        <is>
          <t>Use internal historical data and peer benchmarking to define targets; for ratio metrics aspiration is as close to 100% as context allows</t>
        </is>
      </c>
    </row>
    <row r="35">
      <c r="A35" t="n">
        <v>24</v>
      </c>
      <c r="B35" t="n">
        <v>34</v>
      </c>
      <c r="C35" t="inlineStr">
        <is>
          <t>Defect density</t>
        </is>
      </c>
      <c r="D35" t="inlineStr">
        <is>
          <t>Total defects / total releases</t>
        </is>
      </c>
      <c r="E35" t="inlineStr">
        <is>
          <t>No published cross-GCC numeric benchmark; tracked internally and/or in consulting studies</t>
        </is>
      </c>
      <c r="F35" t="inlineStr">
        <is>
          <t>Use internal historical data and peer benchmarking to define targets; for ratio metrics aspiration is as close to 100% as context allows</t>
        </is>
      </c>
      <c r="M35" t="inlineStr">
        <is>
          <t>No single cross-industry numeric benchmark; teams usually track trends and compare across products/releases rather than to an external absolute.</t>
        </is>
      </c>
      <c r="N35" t="inlineStr">
        <is>
          <t>Larger GCCs can normalise by KLOC / story points across many teams to define internal bands; small GCCs rely more on product-level baselines.</t>
        </is>
      </c>
      <c r="O35" t="inlineStr">
        <is>
          <t>defects per KLOC</t>
        </is>
      </c>
      <c r="P35">
        <f>Total_Defects / KLOC</f>
        <v/>
      </c>
      <c r="Q35" t="n">
        <v>0</v>
      </c>
      <c r="R35" t="n">
        <v>3</v>
      </c>
    </row>
    <row r="36">
      <c r="A36" t="n">
        <v>25</v>
      </c>
      <c r="B36" t="n">
        <v>35</v>
      </c>
      <c r="C36" t="inlineStr">
        <is>
          <t>Cycle time</t>
        </is>
      </c>
      <c r="D36" t="inlineStr">
        <is>
          <t>Time from end of dev to deployment</t>
        </is>
      </c>
      <c r="E36" t="inlineStr">
        <is>
          <t>No published cross-GCC numeric benchmark; tracked internally and/or in consulting studies</t>
        </is>
      </c>
      <c r="F36" t="inlineStr">
        <is>
          <t>Use internal historical data and peer benchmarking to define targets; for ratio metrics aspiration is as close to 100% as context allows</t>
        </is>
      </c>
      <c r="M36" t="inlineStr">
        <is>
          <t>DORA/flow literature differentiates elite teams with very short lead times from code complete to production (hours to a few days) versus weeks+ for low performers.</t>
        </is>
      </c>
      <c r="N36" t="inlineStr">
        <is>
          <t>Smaller GCCs/product teams often achieve shorter cycle times; large, regulated BFSI/Pharma GCCs typically see longer cycles due to controls.</t>
        </is>
      </c>
      <c r="O36" t="inlineStr">
        <is>
          <t>days</t>
        </is>
      </c>
      <c r="P36">
        <f>DATEDIF(Dev_Complete_Date, Deployment_Date, "D")</f>
        <v/>
      </c>
    </row>
    <row r="37">
      <c r="A37" t="n">
        <v>26</v>
      </c>
      <c r="B37" t="n">
        <v>36</v>
      </c>
      <c r="C37" t="inlineStr">
        <is>
          <t>Change failure rate</t>
        </is>
      </c>
      <c r="D37" t="inlineStr">
        <is>
          <t>Failed changes / total changes</t>
        </is>
      </c>
      <c r="E37" t="inlineStr">
        <is>
          <t>No published cross-GCC numeric benchmark; tracked internally and/or in consulting studies</t>
        </is>
      </c>
      <c r="F37" t="inlineStr">
        <is>
          <t>Use internal historical data and peer benchmarking to define targets; for ratio metrics aspiration is as close to 100% as context allows</t>
        </is>
      </c>
      <c r="M37" t="inlineStr">
        <is>
          <t>DORA: elite DevOps performers ~0-15% change failure rate; recent reports cite 0-2% as ideal but rare.</t>
        </is>
      </c>
      <c r="N37" t="inlineStr">
        <is>
          <t>Smaller product teams (often in small GCCs) can sometimes reach very low CFR; large enterprise platforms typically sit in single- to low-teens percent if well run.</t>
        </is>
      </c>
      <c r="O37" t="inlineStr">
        <is>
          <t>%</t>
        </is>
      </c>
      <c r="P37">
        <f>Failed_Changes / Total_Changes</f>
        <v/>
      </c>
      <c r="Q37" t="n">
        <v>0</v>
      </c>
      <c r="R37" t="n">
        <v>0.15</v>
      </c>
    </row>
    <row r="38">
      <c r="A38" t="n">
        <v>27</v>
      </c>
      <c r="B38" t="n">
        <v>37</v>
      </c>
      <c r="C38" t="inlineStr">
        <is>
          <t>Continuous improvement initiatives / quarter</t>
        </is>
      </c>
      <c r="D38" t="inlineStr">
        <is>
          <t>CI initiatives implemented in a quarter</t>
        </is>
      </c>
      <c r="E38" t="inlineStr">
        <is>
          <t>No published cross-GCC numeric benchmark; tracked internally and/or in consulting studies</t>
        </is>
      </c>
      <c r="F38" t="inlineStr">
        <is>
          <t>Use internal historical data and peer benchmarking to define targets; for ratio metrics aspiration is as close to 100% as context allows</t>
        </is>
      </c>
      <c r="M38" t="inlineStr">
        <is>
          <t>No standard volume; many Lean/Agile environments encourage at least a handful of CI initiatives per team per quarter.</t>
        </is>
      </c>
      <c r="N38" t="inlineStr">
        <is>
          <t>Larger GCCs institutionalise CI pipelines; small GCCs rely more on team-level Kaizen without strict numeric targets.</t>
        </is>
      </c>
      <c r="O38" t="inlineStr">
        <is>
          <t>count</t>
        </is>
      </c>
    </row>
    <row r="39">
      <c r="A39" t="n">
        <v>27</v>
      </c>
      <c r="B39" t="n">
        <v>38</v>
      </c>
      <c r="C39" t="inlineStr">
        <is>
          <t>AI initiatives (GCC vs onshore)</t>
        </is>
      </c>
      <c r="D39" t="inlineStr">
        <is>
          <t>AI initiatives proposed by GCC / total AI initiatives</t>
        </is>
      </c>
      <c r="E39" t="inlineStr">
        <is>
          <t>No published cross-GCC numeric benchmark; tracked internally and/or in consulting studies</t>
        </is>
      </c>
      <c r="F39" t="inlineStr">
        <is>
          <t>Use internal historical data and peer benchmarking to define targets; for ratio metrics aspiration is as close to 100% as context allows</t>
        </is>
      </c>
      <c r="O39" t="inlineStr">
        <is>
          <t>count</t>
        </is>
      </c>
    </row>
    <row r="40">
      <c r="A40" t="n">
        <v>28</v>
      </c>
      <c r="B40" t="n">
        <v>39</v>
      </c>
      <c r="C40" t="inlineStr">
        <is>
          <t>Patents (GCC contribution)</t>
        </is>
      </c>
      <c r="D40" t="inlineStr">
        <is>
          <t>Patents with GCC contribution / total patents</t>
        </is>
      </c>
      <c r="E40" t="inlineStr">
        <is>
          <t>No published cross-GCC numeric benchmark; tracked internally and/or in consulting studies</t>
        </is>
      </c>
      <c r="F40" t="inlineStr">
        <is>
          <t>Use internal historical data and peer benchmarking to define targets; for ratio metrics aspiration is as close to 100% as context allows</t>
        </is>
      </c>
    </row>
    <row r="41">
      <c r="A41" t="n">
        <v>29</v>
      </c>
      <c r="B41" t="n">
        <v>40</v>
      </c>
      <c r="C41" t="inlineStr">
        <is>
          <t>Ideas -&gt; MVP conversion</t>
        </is>
      </c>
      <c r="D41" t="inlineStr">
        <is>
          <t>Ideas converted to MVP / total ideas</t>
        </is>
      </c>
      <c r="E41" t="inlineStr">
        <is>
          <t>No published cross-GCC numeric benchmark; tracked internally and/or in consulting studies</t>
        </is>
      </c>
      <c r="F41" t="inlineStr">
        <is>
          <t>Use internal historical data and peer benchmarking to define targets; for ratio metrics aspiration is as close to 100% as context allows</t>
        </is>
      </c>
      <c r="M41" t="inlineStr">
        <is>
          <t>Innovation funnels commonly convert a small percentage of raw ideas into MVPs (for example, low single digits to teens), but ranges vary widely.</t>
        </is>
      </c>
      <c r="N41" t="inlineStr">
        <is>
          <t>Large GCCs may run structured innovation funnels with explicit stage gates; small GCCs often have higher conversion among a smaller idea pool.</t>
        </is>
      </c>
    </row>
    <row r="42">
      <c r="A42" t="n">
        <v>30</v>
      </c>
      <c r="B42" t="n">
        <v>41</v>
      </c>
      <c r="C42" t="inlineStr">
        <is>
          <t>Savings realised vs plan (%)</t>
        </is>
      </c>
      <c r="D42" t="inlineStr">
        <is>
          <t>Actual savings / planned savings</t>
        </is>
      </c>
      <c r="E42" t="inlineStr">
        <is>
          <t>No published cross-GCC numeric benchmark; tracked internally and/or in consulting studies</t>
        </is>
      </c>
      <c r="F42" t="inlineStr">
        <is>
          <t>Use internal historical data and peer benchmarking to define targets; for ratio metrics aspiration is as close to 100% as context allows</t>
        </is>
      </c>
      <c r="M42" t="inlineStr">
        <is>
          <t>GCC business cases often assume 25-40% cost savings versus equivalent onshore delivery when fully ramped.</t>
        </is>
      </c>
      <c r="N42" t="inlineStr">
        <is>
          <t>Larger, mature GCCs with higher E2E ownership usually realise savings toward upper end of range; small/single-tower GCCs closer to lower end.</t>
        </is>
      </c>
      <c r="O42" t="inlineStr">
        <is>
          <t>%</t>
        </is>
      </c>
      <c r="P42">
        <f>Actual_Savings / Planned_Savings</f>
        <v/>
      </c>
      <c r="Q42" t="n">
        <v>0.9</v>
      </c>
      <c r="R42" t="n">
        <v>1.2</v>
      </c>
    </row>
    <row r="43">
      <c r="A43" t="n">
        <v>31</v>
      </c>
      <c r="B43" t="n">
        <v>42</v>
      </c>
      <c r="C43" t="inlineStr">
        <is>
          <t>Spend variance vs migration budget</t>
        </is>
      </c>
      <c r="D43" t="inlineStr">
        <is>
          <t>(Actual spend - budget) / budget</t>
        </is>
      </c>
      <c r="E43" t="inlineStr">
        <is>
          <t>No published cross-GCC numeric benchmark; tracked internally and/or in consulting studies</t>
        </is>
      </c>
      <c r="F43" t="inlineStr">
        <is>
          <t>Use internal historical data and peer benchmarking to define targets; for ratio metrics aspiration is as close to 100% as context allows</t>
        </is>
      </c>
      <c r="O43" t="inlineStr">
        <is>
          <t>%</t>
        </is>
      </c>
      <c r="P43">
        <f>(Actual_Spend - Budget) / Budget</f>
        <v/>
      </c>
      <c r="Q43" t="n">
        <v>-0.1</v>
      </c>
      <c r="R43" t="n">
        <v>0.1</v>
      </c>
    </row>
    <row r="44">
      <c r="A44" t="n">
        <v>32</v>
      </c>
      <c r="B44" t="n">
        <v>43</v>
      </c>
      <c r="C44" t="inlineStr">
        <is>
          <t>On-time delivery (% initiatives)</t>
        </is>
      </c>
      <c r="D44" t="inlineStr">
        <is>
          <t>Initiatives delivered on time / total initiatives</t>
        </is>
      </c>
      <c r="E44" t="inlineStr">
        <is>
          <t>No published cross-GCC numeric benchmark; tracked internally and/or in consulting studies</t>
        </is>
      </c>
      <c r="F44" t="inlineStr">
        <is>
          <t>Use internal historical data and peer benchmarking to define targets; for ratio metrics aspiration is as close to 100% as context allows</t>
        </is>
      </c>
      <c r="M44" t="inlineStr">
        <is>
          <t>Typical enterprise portfolios show ~60-85% on-time delivery; high-performing organisations sustain ~85-95%+.</t>
        </is>
      </c>
      <c r="N44" t="inlineStr">
        <is>
          <t>Large, multi-tower GCCs running complex change portfolios may accept mid-80s% as strong; smaller GCCs with fewer dependencies can target &gt;90%.</t>
        </is>
      </c>
      <c r="O44" t="inlineStr">
        <is>
          <t>%</t>
        </is>
      </c>
      <c r="P44">
        <f>Initiatives_On_Time / Total_Initiatives</f>
        <v/>
      </c>
      <c r="Q44" t="n">
        <v>0.85</v>
      </c>
      <c r="R44" t="n">
        <v>0.95</v>
      </c>
    </row>
    <row r="45">
      <c r="A45" t="n">
        <v>33</v>
      </c>
      <c r="B45" t="n">
        <v>44</v>
      </c>
      <c r="C45" t="inlineStr">
        <is>
          <t>Knowledge transfer completion (%)</t>
        </is>
      </c>
      <c r="D45" t="inlineStr">
        <is>
          <t>Completed KT modules / total KT modules</t>
        </is>
      </c>
      <c r="E45" t="inlineStr">
        <is>
          <t>No published cross-GCC numeric benchmark; tracked internally and/or in consulting studies</t>
        </is>
      </c>
      <c r="F45" t="inlineStr">
        <is>
          <t>Use internal historical data and peer benchmarking to define targets; for ratio metrics aspiration is as close to 100% as context allows</t>
        </is>
      </c>
      <c r="M45" t="inlineStr">
        <is>
          <t>No universal numeric benchmark; critical KT is generally expected to reach 100% completion before go-live on scoped modules.</t>
        </is>
      </c>
      <c r="N45" t="inlineStr">
        <is>
          <t>Transition-heavy, large GCCs formalise KT tracking more rigorously; smaller GCCs often manage KT more informally but still target full completion for critical areas.</t>
        </is>
      </c>
      <c r="O45" t="inlineStr">
        <is>
          <t>%</t>
        </is>
      </c>
      <c r="P45">
        <f>Completed_KT_Modules / Total_KT_Modules</f>
        <v/>
      </c>
      <c r="Q45" t="n">
        <v>1</v>
      </c>
      <c r="R45" t="n">
        <v>1</v>
      </c>
    </row>
    <row r="46">
      <c r="A46" t="n">
        <v>34</v>
      </c>
      <c r="B46" t="n">
        <v>45</v>
      </c>
      <c r="C46" t="inlineStr">
        <is>
          <t>Stabilization window (%)</t>
        </is>
      </c>
      <c r="D46" t="inlineStr">
        <is>
          <t>Stabilised capabilities / transitioned capabilities</t>
        </is>
      </c>
      <c r="E46" t="inlineStr">
        <is>
          <t>No published cross-GCC numeric benchmark; tracked internally and/or in consulting studies</t>
        </is>
      </c>
      <c r="F46" t="inlineStr">
        <is>
          <t>Use internal historical data and peer benchmarking to define targets; for ratio metrics aspiration is as close to 100% as context allows</t>
        </is>
      </c>
      <c r="O46" t="inlineStr">
        <is>
          <t>%</t>
        </is>
      </c>
    </row>
    <row r="47">
      <c r="A47" t="n">
        <v>35</v>
      </c>
      <c r="B47" t="n">
        <v>46</v>
      </c>
      <c r="C47" t="inlineStr">
        <is>
          <t>Incident spike post transition (%)</t>
        </is>
      </c>
      <c r="D47" t="inlineStr">
        <is>
          <t>(Post-transition incidents - pre) / pre incidents</t>
        </is>
      </c>
      <c r="E47" t="inlineStr">
        <is>
          <t>No published cross-GCC numeric benchmark; tracked internally and/or in consulting studies</t>
        </is>
      </c>
      <c r="F47" t="inlineStr">
        <is>
          <t>Use internal historical data and peer benchmarking to define targets; for ratio metrics aspiration is as close to 100% as context allows</t>
        </is>
      </c>
      <c r="M47" t="inlineStr">
        <is>
          <t>No standard %; many transitions see an initial spike followed by return to or below baseline within a defined stabilisation window.</t>
        </is>
      </c>
      <c r="N47" t="inlineStr">
        <is>
          <t>Larger GCCs may have stronger SRE/ops practices to dampen spikes; small greenfield GCCs can see sharper but shorter-lived spikes.</t>
        </is>
      </c>
      <c r="O47" t="inlineStr">
        <is>
          <t>%</t>
        </is>
      </c>
    </row>
    <row r="48">
      <c r="A48" t="n">
        <v>36</v>
      </c>
      <c r="B48" t="n">
        <v>47</v>
      </c>
      <c r="C48" t="inlineStr">
        <is>
          <t>Go-live readiness score (index)</t>
        </is>
      </c>
      <c r="D48" t="inlineStr">
        <is>
          <t>Projects ready to go-live / total projects</t>
        </is>
      </c>
      <c r="E48" t="inlineStr">
        <is>
          <t>No published cross-GCC numeric benchmark; tracked internally and/or in consulting studies</t>
        </is>
      </c>
      <c r="F48" t="inlineStr">
        <is>
          <t>Use internal historical data and peer benchmarking to define targets; for ratio metrics aspiration is as close to 100% as context allows</t>
        </is>
      </c>
    </row>
    <row r="49">
      <c r="A49" t="n">
        <v>37</v>
      </c>
      <c r="B49" t="n">
        <v>48</v>
      </c>
      <c r="C49" t="inlineStr">
        <is>
          <t>Initiatives at risk (% red/amber)</t>
        </is>
      </c>
      <c r="D49" t="inlineStr">
        <is>
          <t>Red + amber initiatives / total initiatives</t>
        </is>
      </c>
      <c r="E49" t="inlineStr">
        <is>
          <t>No published cross-GCC numeric benchmark; tracked internally and/or in consulting studies</t>
        </is>
      </c>
      <c r="F49" t="inlineStr">
        <is>
          <t>Use internal historical data and peer benchmarking to define targets; for ratio metrics aspiration is as close to 100% as context allows</t>
        </is>
      </c>
      <c r="M49" t="inlineStr">
        <is>
          <t>Portfolio health views often treat ~10-25% red/amber as typical, depending on portfolio aggressiveness and risk appetite.</t>
        </is>
      </c>
      <c r="N49" t="inlineStr">
        <is>
          <t>Large, complex GCC portfolios may tolerate higher red/amber shares; smaller GCCs often target a low-teens percentage.</t>
        </is>
      </c>
      <c r="O49" t="inlineStr">
        <is>
          <t>%</t>
        </is>
      </c>
      <c r="P49">
        <f>(Red_Initiatives + Amber_Initiatives) / Total_Initiatives</f>
        <v/>
      </c>
      <c r="Q49" t="n">
        <v>0</v>
      </c>
      <c r="R49" t="n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2026-03-27T06:15:11Z</dcterms:created>
  <dcterms:modified xmlns:dcterms="http://purl.org/dc/terms/" xmlns:xsi="http://www.w3.org/2001/XMLSchema-instance" xsi:type="dcterms:W3CDTF">2026-03-27T07:04:51Z</dcterms:modified>
</cp:coreProperties>
</file>